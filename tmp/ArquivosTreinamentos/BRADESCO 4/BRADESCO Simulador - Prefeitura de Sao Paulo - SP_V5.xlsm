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EstaPasta_de_trabalho" defaultThemeVersion="124226"/>
  <mc:AlternateContent xmlns:mc="http://schemas.openxmlformats.org/markup-compatibility/2006">
    <mc:Choice Requires="x15">
      <x15ac:absPath xmlns:x15ac="http://schemas.microsoft.com/office/spreadsheetml/2010/11/ac" url="Y:\Secoes\D5659S234\Comum_S234\Processos dos Convênios\RO - Roteiro Operacional Convenios\RO - PREFEITURAS\SAO PAULO\RO\"/>
    </mc:Choice>
  </mc:AlternateContent>
  <bookViews>
    <workbookView xWindow="0" yWindow="0" windowWidth="7470" windowHeight="6705"/>
  </bookViews>
  <sheets>
    <sheet name="Simulador" sheetId="1" r:id="rId1"/>
    <sheet name="Planilha de Calculo" sheetId="4" state="veryHidden" r:id="rId2"/>
    <sheet name="Verbas" sheetId="6" state="veryHidden" r:id="rId3"/>
    <sheet name="Relação de Rubricas" sheetId="3" state="veryHidden" r:id="rId4"/>
    <sheet name="Alteracoes realizadas" sheetId="7" state="veryHidden" r:id="rId5"/>
  </sheets>
  <definedNames>
    <definedName name="_xlnm._FilterDatabase" localSheetId="3" hidden="1">'Relação de Rubricas'!$E$3:$M$171</definedName>
    <definedName name="_xlnm._FilterDatabase" localSheetId="2" hidden="1">Verbas!$A$1:$G$98</definedName>
    <definedName name="_xlnm.Print_Area" localSheetId="0">Simulador!$A$1:$M$71</definedName>
  </definedNames>
  <calcPr calcId="162913"/>
</workbook>
</file>

<file path=xl/calcChain.xml><?xml version="1.0" encoding="utf-8"?>
<calcChain xmlns="http://schemas.openxmlformats.org/spreadsheetml/2006/main">
  <c r="A172" i="3" l="1"/>
  <c r="A171" i="3"/>
  <c r="A170" i="3"/>
  <c r="D169" i="3"/>
  <c r="D170" i="3" s="1"/>
  <c r="D171" i="3" s="1"/>
  <c r="D172" i="3" s="1"/>
  <c r="A169" i="3"/>
  <c r="M172" i="3" l="1"/>
  <c r="M170" i="3"/>
  <c r="M171" i="3"/>
  <c r="M169" i="3"/>
  <c r="M168" i="3"/>
  <c r="A168" i="3"/>
  <c r="M167" i="3" l="1"/>
  <c r="A167" i="3"/>
  <c r="A166" i="3"/>
  <c r="A165" i="3"/>
  <c r="A164" i="3"/>
  <c r="A163" i="3"/>
  <c r="A162" i="3"/>
  <c r="M166" i="3"/>
  <c r="M165" i="3"/>
  <c r="M164" i="3"/>
  <c r="M163" i="3"/>
  <c r="M162" i="3"/>
  <c r="A161" i="3" l="1"/>
  <c r="A160" i="3"/>
  <c r="A159" i="3"/>
  <c r="M161" i="3"/>
  <c r="M159" i="3"/>
  <c r="M160" i="3"/>
  <c r="A158" i="3" l="1"/>
  <c r="A157" i="3"/>
  <c r="A156" i="3"/>
  <c r="A155" i="3"/>
  <c r="A154" i="3"/>
  <c r="M158" i="3"/>
  <c r="M157" i="3"/>
  <c r="M156" i="3"/>
  <c r="M155" i="3"/>
  <c r="M154" i="3" l="1"/>
  <c r="M153" i="3" l="1"/>
  <c r="M152" i="3"/>
  <c r="M151" i="3"/>
  <c r="M150" i="3"/>
  <c r="M149" i="3"/>
  <c r="M148" i="3"/>
  <c r="M147" i="3"/>
  <c r="M146" i="3"/>
  <c r="M145" i="3"/>
  <c r="M144" i="3"/>
  <c r="M143" i="3"/>
  <c r="M142" i="3"/>
  <c r="M141" i="3"/>
  <c r="M140" i="3"/>
  <c r="M139" i="3"/>
  <c r="M138" i="3"/>
  <c r="M137" i="3"/>
  <c r="M136" i="3"/>
  <c r="M135" i="3"/>
  <c r="M134" i="3"/>
  <c r="M133" i="3"/>
  <c r="M132" i="3"/>
  <c r="M131" i="3"/>
  <c r="M130" i="3"/>
  <c r="M129" i="3"/>
  <c r="M128" i="3"/>
  <c r="M127" i="3"/>
  <c r="M126" i="3"/>
  <c r="M125" i="3"/>
  <c r="M124" i="3"/>
  <c r="M123" i="3"/>
  <c r="M122" i="3"/>
  <c r="M121" i="3"/>
  <c r="M120" i="3"/>
  <c r="M119" i="3"/>
  <c r="M118" i="3"/>
  <c r="M117" i="3"/>
  <c r="M116" i="3"/>
  <c r="M115" i="3"/>
  <c r="M114" i="3"/>
  <c r="M113" i="3"/>
  <c r="M112" i="3"/>
  <c r="M111" i="3"/>
  <c r="M110" i="3"/>
  <c r="M109" i="3"/>
  <c r="M108" i="3"/>
  <c r="M107" i="3"/>
  <c r="M106" i="3"/>
  <c r="M105" i="3"/>
  <c r="M104" i="3"/>
  <c r="M103" i="3"/>
  <c r="M102" i="3"/>
  <c r="M101" i="3"/>
  <c r="M100" i="3"/>
  <c r="M99" i="3"/>
  <c r="M98" i="3"/>
  <c r="M97" i="3"/>
  <c r="M96" i="3"/>
  <c r="M95" i="3"/>
  <c r="M94" i="3"/>
  <c r="M93" i="3"/>
  <c r="M92" i="3"/>
  <c r="M91" i="3"/>
  <c r="M90" i="3"/>
  <c r="M89" i="3"/>
  <c r="M88" i="3"/>
  <c r="M87" i="3"/>
  <c r="M86" i="3"/>
  <c r="M85" i="3"/>
  <c r="M84" i="3"/>
  <c r="M83" i="3"/>
  <c r="M82" i="3"/>
  <c r="M81" i="3"/>
  <c r="M80" i="3"/>
  <c r="M79" i="3"/>
  <c r="M78" i="3"/>
  <c r="M77" i="3"/>
  <c r="M76" i="3"/>
  <c r="M75" i="3"/>
  <c r="M74" i="3"/>
  <c r="M73" i="3"/>
  <c r="M72" i="3"/>
  <c r="M71" i="3"/>
  <c r="M70" i="3"/>
  <c r="M69" i="3"/>
  <c r="M68" i="3"/>
  <c r="M67" i="3"/>
  <c r="M66" i="3"/>
  <c r="M65" i="3"/>
  <c r="M64" i="3"/>
  <c r="M63" i="3"/>
  <c r="M62" i="3"/>
  <c r="M61" i="3"/>
  <c r="M60" i="3"/>
  <c r="M59" i="3"/>
  <c r="M58" i="3"/>
  <c r="M57" i="3"/>
  <c r="M56" i="3"/>
  <c r="M55" i="3"/>
  <c r="M54" i="3"/>
  <c r="M53" i="3"/>
  <c r="M52" i="3"/>
  <c r="M51" i="3"/>
  <c r="M50" i="3"/>
  <c r="M49" i="3"/>
  <c r="M48" i="3"/>
  <c r="M47" i="3"/>
  <c r="M46" i="3"/>
  <c r="M45" i="3"/>
  <c r="M44" i="3"/>
  <c r="M43" i="3"/>
  <c r="M42" i="3"/>
  <c r="M41" i="3"/>
  <c r="M40" i="3"/>
  <c r="M39" i="3"/>
  <c r="M38" i="3"/>
  <c r="M37" i="3"/>
  <c r="M36" i="3"/>
  <c r="M35" i="3"/>
  <c r="M34" i="3"/>
  <c r="M33" i="3"/>
  <c r="M32" i="3"/>
  <c r="M31" i="3"/>
  <c r="M30" i="3"/>
  <c r="M29" i="3"/>
  <c r="M28" i="3"/>
  <c r="M27" i="3"/>
  <c r="M26" i="3"/>
  <c r="M25" i="3"/>
  <c r="M24" i="3"/>
  <c r="M23" i="3"/>
  <c r="M22" i="3"/>
  <c r="M21" i="3"/>
  <c r="M20" i="3"/>
  <c r="M19" i="3"/>
  <c r="M18" i="3"/>
  <c r="M17" i="3"/>
  <c r="M16" i="3"/>
  <c r="M15" i="3"/>
  <c r="M14" i="3"/>
  <c r="M13" i="3"/>
  <c r="M12" i="3"/>
  <c r="M11" i="3"/>
  <c r="M10" i="3"/>
  <c r="M9" i="3"/>
  <c r="M8" i="3"/>
  <c r="M7" i="3"/>
  <c r="M6" i="3"/>
  <c r="M5" i="3"/>
  <c r="A5" i="3" l="1"/>
  <c r="A6" i="3"/>
  <c r="A7" i="3"/>
  <c r="A8" i="3"/>
  <c r="A153" i="3"/>
  <c r="A152" i="3"/>
  <c r="A151" i="3"/>
  <c r="A150" i="3"/>
  <c r="A149" i="3"/>
  <c r="A148" i="3"/>
  <c r="A147" i="3"/>
  <c r="A146" i="3"/>
  <c r="A145" i="3"/>
  <c r="A144" i="3" l="1"/>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50" i="3" l="1"/>
  <c r="A116" i="3" l="1"/>
  <c r="A115" i="3"/>
  <c r="A114" i="3"/>
  <c r="A113" i="3"/>
  <c r="A112" i="3"/>
  <c r="A111" i="3"/>
  <c r="A9" i="3" l="1"/>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M4" i="3" l="1"/>
  <c r="F154" i="6" l="1"/>
  <c r="F153" i="6"/>
  <c r="F152" i="6"/>
  <c r="F151" i="6"/>
  <c r="F150" i="6"/>
  <c r="F149" i="6"/>
  <c r="F148" i="6"/>
  <c r="F147" i="6"/>
  <c r="F146" i="6"/>
  <c r="F145" i="6"/>
  <c r="F144" i="6"/>
  <c r="F143" i="6"/>
  <c r="F142" i="6"/>
  <c r="F141" i="6"/>
  <c r="F140" i="6"/>
  <c r="F139" i="6"/>
  <c r="F138" i="6"/>
  <c r="F137" i="6"/>
  <c r="F136" i="6"/>
  <c r="F135" i="6"/>
  <c r="F134" i="6"/>
  <c r="F133" i="6"/>
  <c r="F132" i="6"/>
  <c r="F131" i="6"/>
  <c r="F130" i="6"/>
  <c r="F129" i="6"/>
  <c r="F128" i="6"/>
  <c r="F127" i="6"/>
  <c r="F126" i="6"/>
  <c r="F125" i="6"/>
  <c r="F124" i="6"/>
  <c r="F123" i="6"/>
  <c r="F122" i="6"/>
  <c r="F121" i="6"/>
  <c r="F120" i="6"/>
  <c r="F119" i="6"/>
  <c r="F118" i="6"/>
  <c r="F117" i="6"/>
  <c r="F116" i="6"/>
  <c r="F115" i="6"/>
  <c r="F114" i="6"/>
  <c r="F113" i="6"/>
  <c r="F112" i="6"/>
  <c r="F111" i="6"/>
  <c r="F110" i="6"/>
  <c r="F109" i="6"/>
  <c r="F108" i="6"/>
  <c r="F107" i="6"/>
  <c r="F106" i="6"/>
  <c r="F105" i="6"/>
  <c r="F104" i="6"/>
  <c r="F103" i="6"/>
  <c r="F102" i="6"/>
  <c r="F101" i="6"/>
  <c r="F100" i="6"/>
  <c r="F99" i="6"/>
  <c r="F98" i="6"/>
  <c r="F97" i="6"/>
  <c r="F96" i="6"/>
  <c r="F95" i="6"/>
  <c r="F94" i="6"/>
  <c r="F93" i="6"/>
  <c r="F92" i="6"/>
  <c r="F91" i="6"/>
  <c r="F90" i="6"/>
  <c r="F89" i="6"/>
  <c r="F88" i="6"/>
  <c r="F87" i="6"/>
  <c r="F86" i="6"/>
  <c r="F85" i="6"/>
  <c r="F84" i="6"/>
  <c r="F83" i="6"/>
  <c r="F82" i="6"/>
  <c r="F81" i="6"/>
  <c r="F80" i="6"/>
  <c r="F79" i="6"/>
  <c r="F78" i="6"/>
  <c r="F77" i="6"/>
  <c r="F76" i="6"/>
  <c r="F75" i="6"/>
  <c r="F74" i="6"/>
  <c r="F73" i="6"/>
  <c r="F72" i="6"/>
  <c r="F71" i="6"/>
  <c r="F70" i="6"/>
  <c r="F69" i="6"/>
  <c r="F68" i="6"/>
  <c r="F67" i="6"/>
  <c r="F66" i="6"/>
  <c r="F65" i="6"/>
  <c r="F64" i="6"/>
  <c r="F63" i="6"/>
  <c r="F62" i="6"/>
  <c r="F61" i="6"/>
  <c r="F60" i="6"/>
  <c r="F59" i="6"/>
  <c r="F58" i="6"/>
  <c r="F57" i="6"/>
  <c r="F56" i="6"/>
  <c r="F55" i="6"/>
  <c r="F54" i="6"/>
  <c r="F53" i="6"/>
  <c r="F52" i="6"/>
  <c r="F51" i="6"/>
  <c r="F50" i="6"/>
  <c r="F49" i="6"/>
  <c r="F48" i="6"/>
  <c r="F47" i="6"/>
  <c r="F46" i="6"/>
  <c r="F45" i="6"/>
  <c r="F44" i="6"/>
  <c r="F43" i="6"/>
  <c r="F42" i="6"/>
  <c r="F41" i="6"/>
  <c r="F40" i="6"/>
  <c r="F39" i="6"/>
  <c r="F38" i="6"/>
  <c r="F37" i="6"/>
  <c r="F36" i="6"/>
  <c r="F35" i="6"/>
  <c r="F34" i="6"/>
  <c r="F33" i="6"/>
  <c r="F32" i="6"/>
  <c r="F31" i="6"/>
  <c r="F30" i="6"/>
  <c r="F29" i="6"/>
  <c r="F28" i="6"/>
  <c r="F27" i="6"/>
  <c r="F26" i="6"/>
  <c r="F25" i="6"/>
  <c r="F24" i="6"/>
  <c r="F23" i="6"/>
  <c r="F22" i="6"/>
  <c r="F21" i="6"/>
  <c r="F20" i="6"/>
  <c r="F19" i="6"/>
  <c r="F18" i="6"/>
  <c r="F17" i="6"/>
  <c r="F16" i="6"/>
  <c r="F15" i="6"/>
  <c r="F14" i="6"/>
  <c r="F13" i="6"/>
  <c r="F12" i="6"/>
  <c r="F11" i="6"/>
  <c r="F10" i="6"/>
  <c r="F9" i="6"/>
  <c r="F8" i="6"/>
  <c r="F7" i="6"/>
  <c r="F6" i="6"/>
  <c r="F5" i="6"/>
  <c r="F4" i="6"/>
  <c r="F3" i="6"/>
  <c r="F2" i="6"/>
  <c r="E154" i="6"/>
  <c r="E153" i="6"/>
  <c r="E152" i="6"/>
  <c r="E151" i="6"/>
  <c r="E150" i="6"/>
  <c r="E149" i="6"/>
  <c r="E148" i="6"/>
  <c r="E147" i="6"/>
  <c r="E146" i="6"/>
  <c r="E145" i="6"/>
  <c r="E144" i="6"/>
  <c r="E143" i="6"/>
  <c r="E142" i="6"/>
  <c r="E141" i="6"/>
  <c r="E140" i="6"/>
  <c r="E139" i="6"/>
  <c r="E138" i="6"/>
  <c r="E137" i="6"/>
  <c r="E136" i="6"/>
  <c r="E135" i="6"/>
  <c r="E134" i="6"/>
  <c r="E133" i="6"/>
  <c r="E132" i="6"/>
  <c r="E131" i="6"/>
  <c r="E130" i="6"/>
  <c r="E129" i="6"/>
  <c r="E128" i="6"/>
  <c r="E127" i="6"/>
  <c r="E126" i="6"/>
  <c r="E125" i="6"/>
  <c r="E124" i="6"/>
  <c r="E123" i="6"/>
  <c r="E122" i="6"/>
  <c r="E121" i="6"/>
  <c r="E120" i="6"/>
  <c r="E119" i="6"/>
  <c r="E118" i="6"/>
  <c r="E117" i="6"/>
  <c r="E116" i="6"/>
  <c r="E115" i="6"/>
  <c r="E114" i="6"/>
  <c r="E113" i="6"/>
  <c r="E112" i="6"/>
  <c r="E111" i="6"/>
  <c r="E110" i="6"/>
  <c r="E109" i="6"/>
  <c r="E108" i="6"/>
  <c r="E107" i="6"/>
  <c r="E106" i="6"/>
  <c r="E105" i="6"/>
  <c r="E104" i="6"/>
  <c r="E103" i="6"/>
  <c r="E102" i="6"/>
  <c r="E101" i="6"/>
  <c r="E100" i="6"/>
  <c r="E99" i="6"/>
  <c r="E98" i="6"/>
  <c r="E97" i="6"/>
  <c r="E96" i="6"/>
  <c r="E95" i="6"/>
  <c r="E94" i="6"/>
  <c r="E93" i="6"/>
  <c r="E92" i="6"/>
  <c r="E91" i="6"/>
  <c r="E90" i="6"/>
  <c r="E89" i="6"/>
  <c r="E88" i="6"/>
  <c r="E87" i="6"/>
  <c r="E86" i="6"/>
  <c r="E85" i="6"/>
  <c r="E84" i="6"/>
  <c r="E83" i="6"/>
  <c r="E82" i="6"/>
  <c r="E81" i="6"/>
  <c r="E80" i="6"/>
  <c r="E79" i="6"/>
  <c r="E78" i="6"/>
  <c r="E77" i="6"/>
  <c r="E76" i="6"/>
  <c r="E75" i="6"/>
  <c r="E74" i="6"/>
  <c r="E73" i="6"/>
  <c r="E72" i="6"/>
  <c r="E71" i="6"/>
  <c r="E70" i="6"/>
  <c r="E69" i="6"/>
  <c r="E68" i="6"/>
  <c r="E67" i="6"/>
  <c r="E66" i="6"/>
  <c r="E65" i="6"/>
  <c r="E64" i="6"/>
  <c r="E63" i="6"/>
  <c r="E62" i="6"/>
  <c r="E61" i="6"/>
  <c r="E60" i="6"/>
  <c r="E59" i="6"/>
  <c r="E58" i="6"/>
  <c r="E57" i="6"/>
  <c r="E56"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13" i="6"/>
  <c r="E12" i="6"/>
  <c r="E11" i="6"/>
  <c r="E10" i="6"/>
  <c r="E9" i="6"/>
  <c r="E8" i="6"/>
  <c r="E7" i="6"/>
  <c r="E6" i="6"/>
  <c r="E5" i="6"/>
  <c r="E4" i="6"/>
  <c r="E3" i="6"/>
  <c r="E2" i="6"/>
  <c r="N61" i="4" l="1"/>
  <c r="N60" i="4"/>
  <c r="N59" i="4"/>
  <c r="N58" i="4"/>
  <c r="N57" i="4"/>
  <c r="N56" i="4"/>
  <c r="N55" i="4"/>
  <c r="N54" i="4"/>
  <c r="N53" i="4"/>
  <c r="N52" i="4"/>
  <c r="N51" i="4"/>
  <c r="N50" i="4"/>
  <c r="N49" i="4"/>
  <c r="N48" i="4"/>
  <c r="N47" i="4"/>
  <c r="N46" i="4"/>
  <c r="N45" i="4"/>
  <c r="N44" i="4"/>
  <c r="N43" i="4"/>
  <c r="N42" i="4"/>
  <c r="N41" i="4"/>
  <c r="N40" i="4"/>
  <c r="N39" i="4"/>
  <c r="N38" i="4"/>
  <c r="N37" i="4"/>
  <c r="N36" i="4"/>
  <c r="N35" i="4"/>
  <c r="N34" i="4"/>
  <c r="N33" i="4"/>
  <c r="N32" i="4"/>
  <c r="N31" i="4"/>
  <c r="N30" i="4"/>
  <c r="N29" i="4"/>
  <c r="N28" i="4"/>
  <c r="N27" i="4"/>
  <c r="N26" i="4"/>
  <c r="N25" i="4"/>
  <c r="N24" i="4"/>
  <c r="N23" i="4"/>
  <c r="N22" i="4"/>
  <c r="F61" i="4"/>
  <c r="F60" i="4"/>
  <c r="F59" i="4"/>
  <c r="F58" i="4"/>
  <c r="F57" i="4"/>
  <c r="F56" i="4"/>
  <c r="F55" i="4"/>
  <c r="F54" i="4"/>
  <c r="F53" i="4"/>
  <c r="F52" i="4"/>
  <c r="F51" i="4"/>
  <c r="F50" i="4"/>
  <c r="F49" i="4"/>
  <c r="F48" i="4"/>
  <c r="F47" i="4"/>
  <c r="F46" i="4"/>
  <c r="F45" i="4"/>
  <c r="F44" i="4"/>
  <c r="F43" i="4"/>
  <c r="F42" i="4"/>
  <c r="F41" i="4"/>
  <c r="F40" i="4"/>
  <c r="F39" i="4"/>
  <c r="F38" i="4"/>
  <c r="F37" i="4"/>
  <c r="F36" i="4"/>
  <c r="F35" i="4"/>
  <c r="F34" i="4"/>
  <c r="F33" i="4"/>
  <c r="F32" i="4"/>
  <c r="F31" i="4"/>
  <c r="F30" i="4"/>
  <c r="F29" i="4"/>
  <c r="F28" i="4"/>
  <c r="F27" i="4"/>
  <c r="F26" i="4"/>
  <c r="F25" i="4"/>
  <c r="F24" i="4"/>
  <c r="F23" i="4"/>
  <c r="F22" i="4"/>
  <c r="L26" i="4" l="1"/>
  <c r="M15" i="4" l="1"/>
  <c r="C10" i="1"/>
  <c r="Q22" i="4" l="1"/>
  <c r="R22" i="4"/>
  <c r="J22" i="4"/>
  <c r="I22" i="4"/>
  <c r="R26" i="4"/>
  <c r="P26" i="4"/>
  <c r="O26" i="4"/>
  <c r="Q26" i="4"/>
  <c r="D61" i="4"/>
  <c r="D60" i="4"/>
  <c r="D59" i="4"/>
  <c r="D58" i="4"/>
  <c r="D57" i="4"/>
  <c r="D56" i="4"/>
  <c r="D55" i="4"/>
  <c r="D54" i="4"/>
  <c r="D53" i="4"/>
  <c r="D52" i="4"/>
  <c r="D51" i="4"/>
  <c r="D50" i="4"/>
  <c r="D49" i="4"/>
  <c r="D48" i="4"/>
  <c r="D47" i="4"/>
  <c r="D46" i="4"/>
  <c r="D45" i="4"/>
  <c r="D44" i="4"/>
  <c r="D43" i="4"/>
  <c r="D42" i="4"/>
  <c r="D41" i="4"/>
  <c r="D40" i="4"/>
  <c r="D39" i="4"/>
  <c r="D38" i="4"/>
  <c r="D37" i="4"/>
  <c r="D36" i="4"/>
  <c r="D35" i="4"/>
  <c r="D34" i="4"/>
  <c r="D33" i="4"/>
  <c r="D32" i="4"/>
  <c r="D31" i="4"/>
  <c r="D30" i="4"/>
  <c r="D29" i="4"/>
  <c r="D28" i="4"/>
  <c r="D27" i="4"/>
  <c r="D26" i="4"/>
  <c r="D25" i="4"/>
  <c r="D24" i="4"/>
  <c r="D23" i="4"/>
  <c r="D22" i="4"/>
  <c r="D21" i="4" l="1"/>
  <c r="S61" i="4" l="1"/>
  <c r="S60" i="4"/>
  <c r="T60" i="4" s="1"/>
  <c r="S59" i="4"/>
  <c r="T59" i="4" s="1"/>
  <c r="S58" i="4"/>
  <c r="T58" i="4" s="1"/>
  <c r="S57" i="4"/>
  <c r="T57" i="4" s="1"/>
  <c r="S56" i="4"/>
  <c r="T56" i="4" s="1"/>
  <c r="S55" i="4"/>
  <c r="T55" i="4" s="1"/>
  <c r="S54" i="4"/>
  <c r="T54" i="4" s="1"/>
  <c r="S53" i="4"/>
  <c r="T53" i="4" s="1"/>
  <c r="S52" i="4"/>
  <c r="T52" i="4" s="1"/>
  <c r="S51" i="4"/>
  <c r="T51" i="4" s="1"/>
  <c r="S50" i="4"/>
  <c r="T50" i="4" s="1"/>
  <c r="S49" i="4"/>
  <c r="T49" i="4" s="1"/>
  <c r="S48" i="4"/>
  <c r="T48" i="4" s="1"/>
  <c r="S47" i="4"/>
  <c r="T47" i="4" s="1"/>
  <c r="S46" i="4"/>
  <c r="T46" i="4" s="1"/>
  <c r="S45" i="4"/>
  <c r="T45" i="4" s="1"/>
  <c r="S44" i="4"/>
  <c r="T44" i="4" s="1"/>
  <c r="S43" i="4"/>
  <c r="T43" i="4" s="1"/>
  <c r="S42" i="4"/>
  <c r="T42" i="4" s="1"/>
  <c r="S41" i="4"/>
  <c r="T41" i="4" s="1"/>
  <c r="S40" i="4"/>
  <c r="T40" i="4" s="1"/>
  <c r="S39" i="4"/>
  <c r="T39" i="4" s="1"/>
  <c r="S38" i="4"/>
  <c r="T38" i="4" s="1"/>
  <c r="S37" i="4"/>
  <c r="T37" i="4" s="1"/>
  <c r="S36" i="4"/>
  <c r="T36" i="4" s="1"/>
  <c r="S35" i="4"/>
  <c r="T35" i="4" s="1"/>
  <c r="S34" i="4"/>
  <c r="T34" i="4" s="1"/>
  <c r="S33" i="4"/>
  <c r="T33" i="4" s="1"/>
  <c r="S32" i="4"/>
  <c r="T32" i="4" s="1"/>
  <c r="S31" i="4"/>
  <c r="T31" i="4" s="1"/>
  <c r="S30" i="4"/>
  <c r="T30" i="4" s="1"/>
  <c r="S29" i="4"/>
  <c r="T29" i="4" s="1"/>
  <c r="S28" i="4"/>
  <c r="T28" i="4" s="1"/>
  <c r="S27" i="4"/>
  <c r="S26" i="4"/>
  <c r="T26" i="4" s="1"/>
  <c r="S25" i="4"/>
  <c r="T25" i="4" s="1"/>
  <c r="S24" i="4"/>
  <c r="S23" i="4"/>
  <c r="S22" i="4"/>
  <c r="M61" i="4"/>
  <c r="M60" i="4"/>
  <c r="M59" i="4"/>
  <c r="M58" i="4"/>
  <c r="M57" i="4"/>
  <c r="M56" i="4"/>
  <c r="M55" i="4"/>
  <c r="M54" i="4"/>
  <c r="M53" i="4"/>
  <c r="M52" i="4"/>
  <c r="M51" i="4"/>
  <c r="M50" i="4"/>
  <c r="M49" i="4"/>
  <c r="M48" i="4"/>
  <c r="M47" i="4"/>
  <c r="M46" i="4"/>
  <c r="M45" i="4"/>
  <c r="M44" i="4"/>
  <c r="M43" i="4"/>
  <c r="M42" i="4"/>
  <c r="M41" i="4"/>
  <c r="M40" i="4"/>
  <c r="M39" i="4"/>
  <c r="M38" i="4"/>
  <c r="M37" i="4"/>
  <c r="M36" i="4"/>
  <c r="M35" i="4"/>
  <c r="M34" i="4"/>
  <c r="M33" i="4"/>
  <c r="M32" i="4"/>
  <c r="M31" i="4"/>
  <c r="M30" i="4"/>
  <c r="M29" i="4"/>
  <c r="M28" i="4"/>
  <c r="M27" i="4"/>
  <c r="M26" i="4"/>
  <c r="M25" i="4"/>
  <c r="M24" i="4"/>
  <c r="M23" i="4"/>
  <c r="M22" i="4"/>
  <c r="L61" i="4"/>
  <c r="L60" i="4"/>
  <c r="L59" i="4"/>
  <c r="L58" i="4"/>
  <c r="L57" i="4"/>
  <c r="L56" i="4"/>
  <c r="L55" i="4"/>
  <c r="L54" i="4"/>
  <c r="L53" i="4"/>
  <c r="L52" i="4"/>
  <c r="L51" i="4"/>
  <c r="L50" i="4"/>
  <c r="L49" i="4"/>
  <c r="L48" i="4"/>
  <c r="L47" i="4"/>
  <c r="L46" i="4"/>
  <c r="L45" i="4"/>
  <c r="L44" i="4"/>
  <c r="L43" i="4"/>
  <c r="L42" i="4"/>
  <c r="L41" i="4"/>
  <c r="L40" i="4"/>
  <c r="L39" i="4"/>
  <c r="L38" i="4"/>
  <c r="L37" i="4"/>
  <c r="L36" i="4"/>
  <c r="L35" i="4"/>
  <c r="L34" i="4"/>
  <c r="L33" i="4"/>
  <c r="L32" i="4"/>
  <c r="L31" i="4"/>
  <c r="L30" i="4"/>
  <c r="L29" i="4"/>
  <c r="L28" i="4"/>
  <c r="L27" i="4"/>
  <c r="L25" i="4"/>
  <c r="L24" i="4"/>
  <c r="L23" i="4"/>
  <c r="L2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P30" i="4" l="1"/>
  <c r="O30" i="4"/>
  <c r="O31" i="4"/>
  <c r="P31" i="4"/>
  <c r="O56" i="4"/>
  <c r="P56" i="4"/>
  <c r="P33" i="4"/>
  <c r="O33" i="4"/>
  <c r="P34" i="4"/>
  <c r="O34" i="4"/>
  <c r="P42" i="4"/>
  <c r="O42" i="4"/>
  <c r="P50" i="4"/>
  <c r="O50" i="4"/>
  <c r="P27" i="4"/>
  <c r="O27" i="4"/>
  <c r="O35" i="4"/>
  <c r="P35" i="4"/>
  <c r="P43" i="4"/>
  <c r="O43" i="4"/>
  <c r="P51" i="4"/>
  <c r="O51" i="4"/>
  <c r="P59" i="4"/>
  <c r="O59" i="4"/>
  <c r="O38" i="4"/>
  <c r="P38" i="4"/>
  <c r="P46" i="4"/>
  <c r="O46" i="4"/>
  <c r="P54" i="4"/>
  <c r="O54" i="4"/>
  <c r="P47" i="4"/>
  <c r="O47" i="4"/>
  <c r="P23" i="4"/>
  <c r="O23" i="4"/>
  <c r="P40" i="4"/>
  <c r="O40" i="4"/>
  <c r="O24" i="4"/>
  <c r="P24" i="4"/>
  <c r="P49" i="4"/>
  <c r="O49" i="4"/>
  <c r="P57" i="4"/>
  <c r="O57" i="4"/>
  <c r="O25" i="4"/>
  <c r="P25" i="4"/>
  <c r="O28" i="4"/>
  <c r="P28" i="4"/>
  <c r="P36" i="4"/>
  <c r="O36" i="4"/>
  <c r="O44" i="4"/>
  <c r="P44" i="4"/>
  <c r="O52" i="4"/>
  <c r="P52" i="4"/>
  <c r="P60" i="4"/>
  <c r="O60" i="4"/>
  <c r="O39" i="4"/>
  <c r="P39" i="4"/>
  <c r="P55" i="4"/>
  <c r="O55" i="4"/>
  <c r="P32" i="4"/>
  <c r="O32" i="4"/>
  <c r="O48" i="4"/>
  <c r="P48" i="4"/>
  <c r="P41" i="4"/>
  <c r="O41" i="4"/>
  <c r="P58" i="4"/>
  <c r="O58" i="4"/>
  <c r="O29" i="4"/>
  <c r="P29" i="4"/>
  <c r="O37" i="4"/>
  <c r="P37" i="4"/>
  <c r="P45" i="4"/>
  <c r="O45" i="4"/>
  <c r="P53" i="4"/>
  <c r="O53" i="4"/>
  <c r="P61" i="4"/>
  <c r="O61" i="4"/>
  <c r="T61" i="4" s="1"/>
  <c r="Q30" i="4"/>
  <c r="R30" i="4"/>
  <c r="Q38" i="4"/>
  <c r="R38" i="4"/>
  <c r="R46" i="4"/>
  <c r="Q46" i="4"/>
  <c r="R54" i="4"/>
  <c r="Q54" i="4"/>
  <c r="R47" i="4"/>
  <c r="Q47" i="4"/>
  <c r="R55" i="4"/>
  <c r="Q55" i="4"/>
  <c r="Q32" i="4"/>
  <c r="R32" i="4"/>
  <c r="R40" i="4"/>
  <c r="Q40" i="4"/>
  <c r="Q48" i="4"/>
  <c r="R48" i="4"/>
  <c r="Q56" i="4"/>
  <c r="R56" i="4"/>
  <c r="R31" i="4"/>
  <c r="Q31" i="4"/>
  <c r="Q41" i="4"/>
  <c r="R41" i="4"/>
  <c r="R39" i="4"/>
  <c r="Q39" i="4"/>
  <c r="Q25" i="4"/>
  <c r="R25" i="4"/>
  <c r="Q50" i="4"/>
  <c r="R50" i="4"/>
  <c r="R58" i="4"/>
  <c r="Q58" i="4"/>
  <c r="Q33" i="4"/>
  <c r="R33" i="4"/>
  <c r="Q27" i="4"/>
  <c r="R27" i="4"/>
  <c r="R35" i="4"/>
  <c r="Q35" i="4"/>
  <c r="R43" i="4"/>
  <c r="Q43" i="4"/>
  <c r="R51" i="4"/>
  <c r="Q51" i="4"/>
  <c r="R59" i="4"/>
  <c r="Q59" i="4"/>
  <c r="R24" i="4"/>
  <c r="Q24" i="4"/>
  <c r="Q57" i="4"/>
  <c r="R57" i="4"/>
  <c r="R42" i="4"/>
  <c r="Q42" i="4"/>
  <c r="Q28" i="4"/>
  <c r="R28" i="4"/>
  <c r="Q36" i="4"/>
  <c r="R36" i="4"/>
  <c r="R44" i="4"/>
  <c r="Q44" i="4"/>
  <c r="R52" i="4"/>
  <c r="Q52" i="4"/>
  <c r="R60" i="4"/>
  <c r="Q60" i="4"/>
  <c r="Q23" i="4"/>
  <c r="R23" i="4"/>
  <c r="Q49" i="4"/>
  <c r="R49" i="4"/>
  <c r="Q34" i="4"/>
  <c r="R34" i="4"/>
  <c r="Q29" i="4"/>
  <c r="R29" i="4"/>
  <c r="Q37" i="4"/>
  <c r="R37" i="4"/>
  <c r="Q45" i="4"/>
  <c r="R45" i="4"/>
  <c r="Q53" i="4"/>
  <c r="R53" i="4"/>
  <c r="R61" i="4"/>
  <c r="Q61" i="4"/>
  <c r="J61" i="4"/>
  <c r="I61" i="4"/>
  <c r="I46" i="4"/>
  <c r="J46" i="4"/>
  <c r="I54" i="4"/>
  <c r="J54" i="4"/>
  <c r="I60" i="4"/>
  <c r="J60" i="4"/>
  <c r="J29" i="4"/>
  <c r="I29" i="4"/>
  <c r="I30" i="4"/>
  <c r="J30" i="4"/>
  <c r="J39" i="4"/>
  <c r="I39" i="4"/>
  <c r="J47" i="4"/>
  <c r="I47" i="4"/>
  <c r="J55" i="4"/>
  <c r="I55" i="4"/>
  <c r="I28" i="4"/>
  <c r="J28" i="4"/>
  <c r="J45" i="4"/>
  <c r="I45" i="4"/>
  <c r="I23" i="4"/>
  <c r="J23" i="4"/>
  <c r="J40" i="4"/>
  <c r="I40" i="4"/>
  <c r="I48" i="4"/>
  <c r="J48" i="4"/>
  <c r="I56" i="4"/>
  <c r="J56" i="4"/>
  <c r="I44" i="4"/>
  <c r="J44" i="4"/>
  <c r="J53" i="4"/>
  <c r="I53" i="4"/>
  <c r="J31" i="4"/>
  <c r="I31" i="4"/>
  <c r="J25" i="4"/>
  <c r="I25" i="4"/>
  <c r="I33" i="4"/>
  <c r="J33" i="4"/>
  <c r="J41" i="4"/>
  <c r="I41" i="4"/>
  <c r="J49" i="4"/>
  <c r="I49" i="4"/>
  <c r="J57" i="4"/>
  <c r="I57" i="4"/>
  <c r="I52" i="4"/>
  <c r="J52" i="4"/>
  <c r="I37" i="4"/>
  <c r="J37" i="4"/>
  <c r="J38" i="4"/>
  <c r="I38" i="4"/>
  <c r="I26" i="4"/>
  <c r="J26" i="4"/>
  <c r="J34" i="4"/>
  <c r="I34" i="4"/>
  <c r="I42" i="4"/>
  <c r="J42" i="4"/>
  <c r="I50" i="4"/>
  <c r="J50" i="4"/>
  <c r="I58" i="4"/>
  <c r="J58" i="4"/>
  <c r="J36" i="4"/>
  <c r="I36" i="4"/>
  <c r="I24" i="4"/>
  <c r="J24" i="4"/>
  <c r="I32" i="4"/>
  <c r="J32" i="4"/>
  <c r="J27" i="4"/>
  <c r="I27" i="4"/>
  <c r="J35" i="4"/>
  <c r="I35" i="4"/>
  <c r="J43" i="4"/>
  <c r="I43" i="4"/>
  <c r="J51" i="4"/>
  <c r="I51" i="4"/>
  <c r="J59" i="4"/>
  <c r="I59" i="4"/>
  <c r="P22" i="4"/>
  <c r="O22" i="4"/>
  <c r="T23" i="4"/>
  <c r="T27" i="4"/>
  <c r="E27" i="4"/>
  <c r="E35" i="4"/>
  <c r="E43" i="4"/>
  <c r="E51" i="4"/>
  <c r="E55" i="4"/>
  <c r="E28" i="4"/>
  <c r="E36" i="4"/>
  <c r="E40" i="4"/>
  <c r="E48" i="4"/>
  <c r="E56" i="4"/>
  <c r="E26" i="4"/>
  <c r="E30" i="4"/>
  <c r="E34" i="4"/>
  <c r="E38" i="4"/>
  <c r="E42" i="4"/>
  <c r="E46" i="4"/>
  <c r="E50" i="4"/>
  <c r="E54" i="4"/>
  <c r="E58" i="4"/>
  <c r="E31" i="4"/>
  <c r="E39" i="4"/>
  <c r="E47" i="4"/>
  <c r="E59" i="4"/>
  <c r="E32" i="4"/>
  <c r="E44" i="4"/>
  <c r="E52" i="4"/>
  <c r="E60" i="4"/>
  <c r="E29" i="4"/>
  <c r="E33" i="4"/>
  <c r="E37" i="4"/>
  <c r="E41" i="4"/>
  <c r="E45" i="4"/>
  <c r="E49" i="4"/>
  <c r="E53" i="4"/>
  <c r="E57" i="4"/>
  <c r="E61" i="4"/>
  <c r="T24" i="4"/>
  <c r="E25" i="4"/>
  <c r="E24" i="4"/>
  <c r="E23" i="4"/>
  <c r="E22" i="4"/>
  <c r="M21" i="4"/>
  <c r="F63" i="1"/>
  <c r="T22" i="4" l="1"/>
  <c r="T21" i="4" s="1"/>
  <c r="R21" i="4"/>
  <c r="P21" i="4"/>
  <c r="Q21" i="4"/>
  <c r="O21" i="4"/>
  <c r="D6" i="4" l="1"/>
  <c r="D11" i="4"/>
  <c r="H11" i="1"/>
  <c r="D4" i="3"/>
  <c r="D5" i="3" l="1"/>
  <c r="D6" i="3" s="1"/>
  <c r="D7" i="3" s="1"/>
  <c r="D8" i="3" s="1"/>
  <c r="D9" i="3" s="1"/>
  <c r="D10" i="3" s="1"/>
  <c r="D11" i="3" s="1"/>
  <c r="D12" i="3" s="1"/>
  <c r="D13" i="3" s="1"/>
  <c r="D14" i="3" s="1"/>
  <c r="D15" i="3" s="1"/>
  <c r="D16" i="3" s="1"/>
  <c r="D17" i="3" s="1"/>
  <c r="D18" i="3" s="1"/>
  <c r="D19" i="3" s="1"/>
  <c r="D20" i="3" s="1"/>
  <c r="D21" i="3" s="1"/>
  <c r="D22" i="3" s="1"/>
  <c r="D23" i="3" s="1"/>
  <c r="D24" i="3" s="1"/>
  <c r="D25" i="3" s="1"/>
  <c r="D26" i="3" s="1"/>
  <c r="D27" i="3" s="1"/>
  <c r="D28" i="3" s="1"/>
  <c r="D29" i="3" s="1"/>
  <c r="D30" i="3" s="1"/>
  <c r="D31" i="3" s="1"/>
  <c r="D32" i="3" s="1"/>
  <c r="D33" i="3" s="1"/>
  <c r="D34" i="3" s="1"/>
  <c r="D35" i="3" s="1"/>
  <c r="D36" i="3" s="1"/>
  <c r="D37" i="3" s="1"/>
  <c r="D38" i="3" s="1"/>
  <c r="D39" i="3" s="1"/>
  <c r="D40" i="3" s="1"/>
  <c r="D41" i="3" s="1"/>
  <c r="D42" i="3" s="1"/>
  <c r="D43" i="3" s="1"/>
  <c r="D44" i="3" s="1"/>
  <c r="D45" i="3" s="1"/>
  <c r="D46" i="3" s="1"/>
  <c r="D47" i="3" s="1"/>
  <c r="D48" i="3" s="1"/>
  <c r="D49" i="3" s="1"/>
  <c r="D50" i="3" s="1"/>
  <c r="D51" i="3" s="1"/>
  <c r="D52" i="3" s="1"/>
  <c r="D53" i="3" s="1"/>
  <c r="D54" i="3" s="1"/>
  <c r="D55" i="3" s="1"/>
  <c r="D56" i="3" s="1"/>
  <c r="D57" i="3" s="1"/>
  <c r="D58" i="3" s="1"/>
  <c r="D59" i="3" s="1"/>
  <c r="D60" i="3" s="1"/>
  <c r="D61" i="3" s="1"/>
  <c r="D62" i="3" s="1"/>
  <c r="D63" i="3" s="1"/>
  <c r="D64" i="3" s="1"/>
  <c r="D65" i="3" s="1"/>
  <c r="D66" i="3" s="1"/>
  <c r="D67" i="3" s="1"/>
  <c r="D68" i="3" s="1"/>
  <c r="D69" i="3" s="1"/>
  <c r="D70" i="3" s="1"/>
  <c r="D71" i="3" s="1"/>
  <c r="D72" i="3" s="1"/>
  <c r="D73" i="3" s="1"/>
  <c r="D74" i="3" s="1"/>
  <c r="D75" i="3" s="1"/>
  <c r="D76" i="3" s="1"/>
  <c r="D77" i="3" s="1"/>
  <c r="D78" i="3" s="1"/>
  <c r="D79" i="3" s="1"/>
  <c r="D80" i="3" s="1"/>
  <c r="D81" i="3" s="1"/>
  <c r="D82" i="3" s="1"/>
  <c r="D83" i="3" s="1"/>
  <c r="D84" i="3" s="1"/>
  <c r="D85" i="3" s="1"/>
  <c r="D86" i="3" s="1"/>
  <c r="D87" i="3" s="1"/>
  <c r="D88" i="3" s="1"/>
  <c r="D89" i="3" s="1"/>
  <c r="D90" i="3" s="1"/>
  <c r="D91" i="3" s="1"/>
  <c r="D92" i="3" s="1"/>
  <c r="D93" i="3" s="1"/>
  <c r="D94" i="3" s="1"/>
  <c r="D95" i="3" s="1"/>
  <c r="D96" i="3" s="1"/>
  <c r="D97" i="3" s="1"/>
  <c r="D98" i="3" s="1"/>
  <c r="D99" i="3" s="1"/>
  <c r="D100" i="3" s="1"/>
  <c r="D101" i="3" s="1"/>
  <c r="D102" i="3" s="1"/>
  <c r="D103" i="3" s="1"/>
  <c r="D104" i="3" s="1"/>
  <c r="D105" i="3" s="1"/>
  <c r="D106" i="3" s="1"/>
  <c r="D107" i="3" s="1"/>
  <c r="D108" i="3" s="1"/>
  <c r="D109" i="3" s="1"/>
  <c r="D110" i="3" s="1"/>
  <c r="D111" i="3" s="1"/>
  <c r="D112" i="3" s="1"/>
  <c r="D113" i="3" s="1"/>
  <c r="D114" i="3" s="1"/>
  <c r="D115" i="3" s="1"/>
  <c r="D116" i="3" s="1"/>
  <c r="D117" i="3" s="1"/>
  <c r="D118" i="3" s="1"/>
  <c r="D119" i="3" s="1"/>
  <c r="D120" i="3" s="1"/>
  <c r="D121" i="3" s="1"/>
  <c r="D122" i="3" s="1"/>
  <c r="D123" i="3" s="1"/>
  <c r="D124" i="3" s="1"/>
  <c r="D125" i="3" s="1"/>
  <c r="D126" i="3" s="1"/>
  <c r="D127" i="3" s="1"/>
  <c r="D128" i="3" s="1"/>
  <c r="D129" i="3" s="1"/>
  <c r="D130" i="3" s="1"/>
  <c r="D131" i="3" s="1"/>
  <c r="D132" i="3" s="1"/>
  <c r="D133" i="3" s="1"/>
  <c r="D134" i="3" s="1"/>
  <c r="D135" i="3" s="1"/>
  <c r="D136" i="3" s="1"/>
  <c r="D137" i="3" s="1"/>
  <c r="D138" i="3" s="1"/>
  <c r="D139" i="3" s="1"/>
  <c r="D140" i="3" s="1"/>
  <c r="D141" i="3" s="1"/>
  <c r="D142" i="3" s="1"/>
  <c r="D143" i="3" s="1"/>
  <c r="D144" i="3" s="1"/>
  <c r="D145" i="3" s="1"/>
  <c r="D146" i="3" s="1"/>
  <c r="D147" i="3" s="1"/>
  <c r="D148" i="3" s="1"/>
  <c r="D149" i="3" s="1"/>
  <c r="D150" i="3" s="1"/>
  <c r="D151" i="3" s="1"/>
  <c r="D152" i="3" s="1"/>
  <c r="D153" i="3" s="1"/>
  <c r="D154" i="3" s="1"/>
  <c r="D155" i="3" s="1"/>
  <c r="D156" i="3" s="1"/>
  <c r="D157" i="3" s="1"/>
  <c r="D158" i="3" s="1"/>
  <c r="D159" i="3" s="1"/>
  <c r="D160" i="3" s="1"/>
  <c r="D161" i="3" s="1"/>
  <c r="D162" i="3" s="1"/>
  <c r="D163" i="3" s="1"/>
  <c r="D164" i="3" s="1"/>
  <c r="D165" i="3" s="1"/>
  <c r="D166" i="3" s="1"/>
  <c r="D167" i="3" s="1"/>
  <c r="D168" i="3" s="1"/>
  <c r="K63" i="1"/>
  <c r="D15" i="4" l="1"/>
  <c r="G58" i="4" l="1"/>
  <c r="H44" i="4"/>
  <c r="H40" i="4"/>
  <c r="G38" i="4"/>
  <c r="G26" i="4"/>
  <c r="G27" i="4"/>
  <c r="G60" i="4"/>
  <c r="G56" i="4"/>
  <c r="G47" i="4"/>
  <c r="H26" i="4"/>
  <c r="G39" i="4"/>
  <c r="H46" i="4"/>
  <c r="H22" i="4"/>
  <c r="G53" i="4"/>
  <c r="G50" i="4"/>
  <c r="H41" i="4"/>
  <c r="H28" i="4"/>
  <c r="H24" i="4"/>
  <c r="H33" i="4"/>
  <c r="G28" i="4"/>
  <c r="H30" i="4"/>
  <c r="H54" i="4"/>
  <c r="G37" i="4"/>
  <c r="H47" i="4"/>
  <c r="G23" i="4"/>
  <c r="H52" i="4"/>
  <c r="H48" i="4"/>
  <c r="H59" i="4"/>
  <c r="H43" i="4"/>
  <c r="G61" i="4"/>
  <c r="G59" i="4"/>
  <c r="H58" i="4"/>
  <c r="G52" i="4"/>
  <c r="G48" i="4"/>
  <c r="G49" i="4"/>
  <c r="H55" i="4"/>
  <c r="G54" i="4"/>
  <c r="H27" i="4"/>
  <c r="G42" i="4"/>
  <c r="G25" i="4"/>
  <c r="G29" i="4"/>
  <c r="G41" i="4"/>
  <c r="G40" i="4"/>
  <c r="G51" i="4"/>
  <c r="H38" i="4"/>
  <c r="G46" i="4"/>
  <c r="H53" i="4"/>
  <c r="H56" i="4"/>
  <c r="H23" i="4"/>
  <c r="G36" i="4"/>
  <c r="G33" i="4"/>
  <c r="H31" i="4"/>
  <c r="G45" i="4"/>
  <c r="G43" i="4"/>
  <c r="H34" i="4"/>
  <c r="G44" i="4"/>
  <c r="G24" i="4"/>
  <c r="G22" i="4"/>
  <c r="G31" i="4"/>
  <c r="H35" i="4"/>
  <c r="H45" i="4"/>
  <c r="H60" i="4"/>
  <c r="H39" i="4"/>
  <c r="G30" i="4"/>
  <c r="H57" i="4"/>
  <c r="H32" i="4"/>
  <c r="G55" i="4"/>
  <c r="G35" i="4"/>
  <c r="H61" i="4"/>
  <c r="H49" i="4"/>
  <c r="H25" i="4"/>
  <c r="G57" i="4"/>
  <c r="G32" i="4"/>
  <c r="H37" i="4"/>
  <c r="G34" i="4"/>
  <c r="H51" i="4"/>
  <c r="H29" i="4"/>
  <c r="H42" i="4"/>
  <c r="H50" i="4"/>
  <c r="H36" i="4"/>
  <c r="A4" i="3"/>
  <c r="S22" i="1" s="1"/>
  <c r="S23" i="1" s="1"/>
  <c r="S24" i="1" s="1"/>
  <c r="S25" i="1" s="1"/>
  <c r="S26" i="1" s="1"/>
  <c r="S27" i="1" s="1"/>
  <c r="S28" i="1" s="1"/>
  <c r="S29" i="1" s="1"/>
  <c r="S30" i="1" s="1"/>
  <c r="S31" i="1" s="1"/>
  <c r="S32" i="1" s="1"/>
  <c r="S33" i="1" s="1"/>
  <c r="S34" i="1" s="1"/>
  <c r="S35" i="1" s="1"/>
  <c r="S36" i="1" s="1"/>
  <c r="S37" i="1" s="1"/>
  <c r="S38" i="1" s="1"/>
  <c r="S39" i="1" s="1"/>
  <c r="S40" i="1" s="1"/>
  <c r="S41" i="1" s="1"/>
  <c r="S42" i="1" s="1"/>
  <c r="S43" i="1" s="1"/>
  <c r="S44" i="1" s="1"/>
  <c r="S45" i="1" s="1"/>
  <c r="S46" i="1" s="1"/>
  <c r="S47" i="1" s="1"/>
  <c r="S48" i="1" s="1"/>
  <c r="S49" i="1" s="1"/>
  <c r="S50" i="1" s="1"/>
  <c r="S51" i="1" s="1"/>
  <c r="S52" i="1" s="1"/>
  <c r="S53" i="1" s="1"/>
  <c r="S54" i="1" s="1"/>
  <c r="S55" i="1" s="1"/>
  <c r="S56" i="1" s="1"/>
  <c r="S57" i="1" s="1"/>
  <c r="S58" i="1" s="1"/>
  <c r="S59" i="1" s="1"/>
  <c r="S60" i="1" s="1"/>
  <c r="S61" i="1" s="1"/>
  <c r="S62" i="1" s="1"/>
  <c r="S63" i="1" s="1"/>
  <c r="S64" i="1" s="1"/>
  <c r="S65" i="1" s="1"/>
  <c r="S66" i="1" s="1"/>
  <c r="S67" i="1" s="1"/>
  <c r="S68" i="1" s="1"/>
  <c r="S69" i="1" s="1"/>
  <c r="S70" i="1" s="1"/>
  <c r="S71" i="1" s="1"/>
  <c r="S72" i="1" s="1"/>
  <c r="S73" i="1" s="1"/>
  <c r="S74" i="1" s="1"/>
  <c r="S75" i="1" s="1"/>
  <c r="S76" i="1" s="1"/>
  <c r="S77" i="1" s="1"/>
  <c r="S78" i="1" s="1"/>
  <c r="S79" i="1" s="1"/>
  <c r="S80" i="1" s="1"/>
  <c r="S81" i="1" s="1"/>
  <c r="S82" i="1" s="1"/>
  <c r="S83" i="1" s="1"/>
  <c r="S84" i="1" s="1"/>
  <c r="S85" i="1" s="1"/>
  <c r="S86" i="1" s="1"/>
  <c r="S87" i="1" s="1"/>
  <c r="S88" i="1" s="1"/>
  <c r="S89" i="1" s="1"/>
  <c r="S90" i="1" s="1"/>
  <c r="S91" i="1" s="1"/>
  <c r="S92" i="1" s="1"/>
  <c r="S93" i="1" s="1"/>
  <c r="S94" i="1" s="1"/>
  <c r="S95" i="1" s="1"/>
  <c r="S96" i="1" s="1"/>
  <c r="S97" i="1" s="1"/>
  <c r="S98" i="1" s="1"/>
  <c r="S99" i="1" s="1"/>
  <c r="S100" i="1" s="1"/>
  <c r="S101" i="1" s="1"/>
  <c r="S102" i="1" s="1"/>
  <c r="S103" i="1" s="1"/>
  <c r="S104" i="1" s="1"/>
  <c r="S105" i="1" s="1"/>
  <c r="S106" i="1" s="1"/>
  <c r="S107" i="1" s="1"/>
  <c r="S108" i="1" s="1"/>
  <c r="S109" i="1" s="1"/>
  <c r="S110" i="1" s="1"/>
  <c r="S111" i="1" s="1"/>
  <c r="S112" i="1" s="1"/>
  <c r="S113" i="1" s="1"/>
  <c r="S114" i="1" s="1"/>
  <c r="S115" i="1" s="1"/>
  <c r="S116" i="1" s="1"/>
  <c r="S117" i="1" s="1"/>
  <c r="S118" i="1" s="1"/>
  <c r="S119" i="1" s="1"/>
  <c r="S120" i="1" s="1"/>
  <c r="S121" i="1" s="1"/>
  <c r="S122" i="1" s="1"/>
  <c r="S123" i="1" s="1"/>
  <c r="S124" i="1" s="1"/>
  <c r="S125" i="1" s="1"/>
  <c r="S126" i="1" s="1"/>
  <c r="S127" i="1" s="1"/>
  <c r="S128" i="1" s="1"/>
  <c r="S129" i="1" s="1"/>
  <c r="S130" i="1" s="1"/>
  <c r="S131" i="1" s="1"/>
  <c r="S132" i="1" s="1"/>
  <c r="S133" i="1" s="1"/>
  <c r="S134" i="1" s="1"/>
  <c r="S135" i="1" s="1"/>
  <c r="S136" i="1" s="1"/>
  <c r="S137" i="1" s="1"/>
  <c r="S138" i="1" s="1"/>
  <c r="S139" i="1" s="1"/>
  <c r="S140" i="1" s="1"/>
  <c r="S141" i="1" s="1"/>
  <c r="S142" i="1" s="1"/>
  <c r="S143" i="1" s="1"/>
  <c r="S144" i="1" s="1"/>
  <c r="S145" i="1" s="1"/>
  <c r="S146" i="1" s="1"/>
  <c r="S147" i="1" s="1"/>
  <c r="S148" i="1" s="1"/>
  <c r="S149" i="1" s="1"/>
  <c r="S150" i="1" s="1"/>
  <c r="S151" i="1" s="1"/>
  <c r="S152" i="1" s="1"/>
  <c r="S153" i="1" s="1"/>
  <c r="S154" i="1" s="1"/>
  <c r="S155" i="1" s="1"/>
  <c r="S156" i="1" s="1"/>
  <c r="S157" i="1" s="1"/>
  <c r="S158" i="1" s="1"/>
  <c r="S159" i="1" s="1"/>
  <c r="S160" i="1" s="1"/>
  <c r="S161" i="1" s="1"/>
  <c r="S162" i="1" s="1"/>
  <c r="S163" i="1" s="1"/>
  <c r="S164" i="1" s="1"/>
  <c r="S165" i="1" s="1"/>
  <c r="S166" i="1" s="1"/>
  <c r="S167" i="1" s="1"/>
  <c r="S168" i="1" s="1"/>
  <c r="S169" i="1" s="1"/>
  <c r="S170" i="1" s="1"/>
  <c r="S171" i="1" s="1"/>
  <c r="J21" i="4" l="1"/>
  <c r="I21" i="4"/>
  <c r="G21" i="4"/>
  <c r="H21" i="4"/>
  <c r="D5" i="4" l="1"/>
  <c r="D7" i="4" s="1"/>
  <c r="M9" i="4" s="1"/>
  <c r="D10" i="4"/>
  <c r="D12" i="4" s="1"/>
  <c r="B4" i="3"/>
  <c r="B5" i="3" s="1"/>
  <c r="M10" i="4" l="1"/>
  <c r="K11" i="1" s="1"/>
  <c r="B6" i="3"/>
  <c r="C5" i="3"/>
  <c r="C4" i="3"/>
  <c r="B7" i="3" l="1"/>
  <c r="C6" i="3"/>
  <c r="B8" i="3" l="1"/>
  <c r="C8" i="3" s="1"/>
  <c r="C7" i="3"/>
  <c r="B9" i="3" l="1"/>
  <c r="B10" i="3" s="1"/>
  <c r="C9" i="3" l="1"/>
  <c r="B11" i="3"/>
  <c r="C10" i="3"/>
  <c r="B12" i="3" l="1"/>
  <c r="C11" i="3"/>
  <c r="B13" i="3" l="1"/>
  <c r="C12" i="3"/>
  <c r="B14" i="3" l="1"/>
  <c r="C13" i="3"/>
  <c r="B15" i="3" l="1"/>
  <c r="C14" i="3"/>
  <c r="B16" i="3" l="1"/>
  <c r="C15" i="3"/>
  <c r="B17" i="3" l="1"/>
  <c r="C16" i="3"/>
  <c r="B18" i="3" l="1"/>
  <c r="C17" i="3"/>
  <c r="B19" i="3" l="1"/>
  <c r="C18" i="3"/>
  <c r="B20" i="3" l="1"/>
  <c r="C19" i="3"/>
  <c r="B21" i="3" l="1"/>
  <c r="C20" i="3"/>
  <c r="B22" i="3" l="1"/>
  <c r="C21" i="3"/>
  <c r="B23" i="3" l="1"/>
  <c r="C22" i="3"/>
  <c r="B24" i="3" l="1"/>
  <c r="C23" i="3"/>
  <c r="B25" i="3" l="1"/>
  <c r="C24" i="3"/>
  <c r="B26" i="3" l="1"/>
  <c r="C25" i="3"/>
  <c r="B27" i="3" l="1"/>
  <c r="C26" i="3"/>
  <c r="B28" i="3" l="1"/>
  <c r="C27" i="3"/>
  <c r="B29" i="3" l="1"/>
  <c r="C28" i="3"/>
  <c r="B30" i="3" l="1"/>
  <c r="C29" i="3"/>
  <c r="B31" i="3" l="1"/>
  <c r="C30" i="3"/>
  <c r="B32" i="3" l="1"/>
  <c r="C31" i="3"/>
  <c r="B33" i="3" l="1"/>
  <c r="C32" i="3"/>
  <c r="B34" i="3" l="1"/>
  <c r="C33" i="3"/>
  <c r="B35" i="3" l="1"/>
  <c r="C34" i="3"/>
  <c r="B36" i="3" l="1"/>
  <c r="C35" i="3"/>
  <c r="B37" i="3" l="1"/>
  <c r="C36" i="3"/>
  <c r="B38" i="3" l="1"/>
  <c r="C37" i="3"/>
  <c r="B39" i="3" l="1"/>
  <c r="C38" i="3"/>
  <c r="B40" i="3" l="1"/>
  <c r="C39" i="3"/>
  <c r="B41" i="3" l="1"/>
  <c r="C40" i="3"/>
  <c r="B42" i="3" l="1"/>
  <c r="C41" i="3"/>
  <c r="B43" i="3" l="1"/>
  <c r="C42" i="3"/>
  <c r="B44" i="3" l="1"/>
  <c r="C43" i="3"/>
  <c r="B45" i="3" l="1"/>
  <c r="C44" i="3"/>
  <c r="B46" i="3" l="1"/>
  <c r="C45" i="3"/>
  <c r="B47" i="3" l="1"/>
  <c r="C46" i="3"/>
  <c r="B48" i="3" l="1"/>
  <c r="C47" i="3"/>
  <c r="B49" i="3" l="1"/>
  <c r="C48" i="3"/>
  <c r="B50" i="3" l="1"/>
  <c r="C49" i="3"/>
  <c r="B51" i="3" l="1"/>
  <c r="C50" i="3"/>
  <c r="B52" i="3" l="1"/>
  <c r="C51" i="3"/>
  <c r="B53" i="3" l="1"/>
  <c r="C52" i="3"/>
  <c r="B54" i="3" l="1"/>
  <c r="C53" i="3"/>
  <c r="B55" i="3" l="1"/>
  <c r="C54" i="3"/>
  <c r="B56" i="3" l="1"/>
  <c r="C55" i="3"/>
  <c r="B57" i="3" l="1"/>
  <c r="C56" i="3"/>
  <c r="B58" i="3" l="1"/>
  <c r="C57" i="3"/>
  <c r="B59" i="3" l="1"/>
  <c r="C58" i="3"/>
  <c r="B60" i="3" l="1"/>
  <c r="C59" i="3"/>
  <c r="B61" i="3" l="1"/>
  <c r="C60" i="3"/>
  <c r="B62" i="3" l="1"/>
  <c r="C61" i="3"/>
  <c r="B63" i="3" l="1"/>
  <c r="C62" i="3"/>
  <c r="B64" i="3" l="1"/>
  <c r="C63" i="3"/>
  <c r="B65" i="3" l="1"/>
  <c r="C64" i="3"/>
  <c r="B66" i="3" l="1"/>
  <c r="C65" i="3"/>
  <c r="B67" i="3" l="1"/>
  <c r="C66" i="3"/>
  <c r="B68" i="3" l="1"/>
  <c r="C67" i="3"/>
  <c r="B69" i="3" l="1"/>
  <c r="C68" i="3"/>
  <c r="B70" i="3" l="1"/>
  <c r="C69" i="3"/>
  <c r="B71" i="3" l="1"/>
  <c r="C70" i="3"/>
  <c r="B72" i="3" l="1"/>
  <c r="C71" i="3"/>
  <c r="B73" i="3" l="1"/>
  <c r="C72" i="3"/>
  <c r="B74" i="3" l="1"/>
  <c r="C73" i="3"/>
  <c r="B75" i="3" l="1"/>
  <c r="C74" i="3"/>
  <c r="B76" i="3" l="1"/>
  <c r="C75" i="3"/>
  <c r="B77" i="3" l="1"/>
  <c r="C76" i="3"/>
  <c r="B78" i="3" l="1"/>
  <c r="C77" i="3"/>
  <c r="B79" i="3" l="1"/>
  <c r="C78" i="3"/>
  <c r="B80" i="3" l="1"/>
  <c r="C79" i="3"/>
  <c r="B81" i="3" l="1"/>
  <c r="C80" i="3"/>
  <c r="B82" i="3" l="1"/>
  <c r="C81" i="3"/>
  <c r="B83" i="3" l="1"/>
  <c r="C82" i="3"/>
  <c r="B84" i="3" l="1"/>
  <c r="C83" i="3"/>
  <c r="B85" i="3" l="1"/>
  <c r="C84" i="3"/>
  <c r="B86" i="3" l="1"/>
  <c r="C85" i="3"/>
  <c r="B87" i="3" l="1"/>
  <c r="C86" i="3"/>
  <c r="B88" i="3" l="1"/>
  <c r="C87" i="3"/>
  <c r="B89" i="3" l="1"/>
  <c r="C88" i="3"/>
  <c r="B90" i="3" l="1"/>
  <c r="C89" i="3"/>
  <c r="B91" i="3" l="1"/>
  <c r="C90" i="3"/>
  <c r="B92" i="3" l="1"/>
  <c r="C91" i="3"/>
  <c r="B93" i="3" l="1"/>
  <c r="C92" i="3"/>
  <c r="B94" i="3" l="1"/>
  <c r="C93" i="3"/>
  <c r="B95" i="3" l="1"/>
  <c r="C94" i="3"/>
  <c r="B96" i="3" l="1"/>
  <c r="C95" i="3"/>
  <c r="B97" i="3" l="1"/>
  <c r="C96" i="3"/>
  <c r="B98" i="3" l="1"/>
  <c r="C97" i="3"/>
  <c r="B99" i="3" l="1"/>
  <c r="C98" i="3"/>
  <c r="B100" i="3" l="1"/>
  <c r="C99" i="3"/>
  <c r="B101" i="3" l="1"/>
  <c r="C100" i="3"/>
  <c r="B102" i="3" l="1"/>
  <c r="C101" i="3"/>
  <c r="B103" i="3" l="1"/>
  <c r="C102" i="3"/>
  <c r="B104" i="3" l="1"/>
  <c r="C103" i="3"/>
  <c r="B105" i="3" l="1"/>
  <c r="C104" i="3"/>
  <c r="B106" i="3" l="1"/>
  <c r="C105" i="3"/>
  <c r="B107" i="3" l="1"/>
  <c r="C106" i="3"/>
  <c r="C107" i="3" l="1"/>
  <c r="B108" i="3"/>
  <c r="C108" i="3" l="1"/>
  <c r="B109" i="3"/>
  <c r="B110" i="3" l="1"/>
  <c r="C109" i="3"/>
  <c r="C110" i="3" l="1"/>
  <c r="B111" i="3"/>
  <c r="C111" i="3" l="1"/>
  <c r="B112" i="3"/>
  <c r="C112" i="3" l="1"/>
  <c r="B113" i="3"/>
  <c r="C113" i="3" l="1"/>
  <c r="B114" i="3"/>
  <c r="C114" i="3" l="1"/>
  <c r="B115" i="3"/>
  <c r="C115" i="3" l="1"/>
  <c r="B116" i="3"/>
  <c r="C116" i="3" l="1"/>
  <c r="B117" i="3"/>
  <c r="C117" i="3" l="1"/>
  <c r="B118" i="3"/>
  <c r="C118" i="3" l="1"/>
  <c r="B119" i="3"/>
  <c r="B120" i="3" l="1"/>
  <c r="C119" i="3"/>
  <c r="B121" i="3" l="1"/>
  <c r="C120" i="3"/>
  <c r="B122" i="3" l="1"/>
  <c r="C121" i="3"/>
  <c r="C122" i="3" l="1"/>
  <c r="B123" i="3"/>
  <c r="C123" i="3" l="1"/>
  <c r="B124" i="3"/>
  <c r="C124" i="3" l="1"/>
  <c r="B125" i="3"/>
  <c r="C125" i="3" l="1"/>
  <c r="B126" i="3"/>
  <c r="B127" i="3" l="1"/>
  <c r="C126" i="3"/>
  <c r="B128" i="3" l="1"/>
  <c r="C127" i="3"/>
  <c r="C128" i="3" l="1"/>
  <c r="B129" i="3"/>
  <c r="B130" i="3" l="1"/>
  <c r="C129" i="3"/>
  <c r="B131" i="3" l="1"/>
  <c r="C130" i="3"/>
  <c r="B132" i="3" l="1"/>
  <c r="C131" i="3"/>
  <c r="B133" i="3" l="1"/>
  <c r="C132" i="3"/>
  <c r="C133" i="3" l="1"/>
  <c r="B134" i="3"/>
  <c r="B135" i="3" l="1"/>
  <c r="C134" i="3"/>
  <c r="B136" i="3" l="1"/>
  <c r="C135" i="3"/>
  <c r="C136" i="3" l="1"/>
  <c r="B137" i="3"/>
  <c r="C137" i="3" l="1"/>
  <c r="B138" i="3"/>
  <c r="C138" i="3" l="1"/>
  <c r="B139" i="3"/>
  <c r="C139" i="3" l="1"/>
  <c r="B140" i="3"/>
  <c r="C140" i="3" l="1"/>
  <c r="B141" i="3"/>
  <c r="C141" i="3" l="1"/>
  <c r="B142" i="3"/>
  <c r="B143" i="3" l="1"/>
  <c r="C142" i="3"/>
  <c r="C143" i="3" l="1"/>
  <c r="B144" i="3"/>
  <c r="C144" i="3" l="1"/>
  <c r="B145" i="3"/>
  <c r="B146" i="3" l="1"/>
  <c r="C145" i="3"/>
  <c r="B147" i="3" l="1"/>
  <c r="C146" i="3"/>
  <c r="B148" i="3" l="1"/>
  <c r="C147" i="3"/>
  <c r="B149" i="3" l="1"/>
  <c r="C148" i="3"/>
  <c r="B150" i="3" l="1"/>
  <c r="C149" i="3"/>
  <c r="B151" i="3" l="1"/>
  <c r="C150" i="3"/>
  <c r="B152" i="3" l="1"/>
  <c r="C151" i="3"/>
  <c r="B153" i="3" l="1"/>
  <c r="B154" i="3" s="1"/>
  <c r="C152" i="3"/>
  <c r="C154" i="3" l="1"/>
  <c r="B155" i="3"/>
  <c r="C153" i="3"/>
  <c r="C155" i="3" l="1"/>
  <c r="B156" i="3"/>
  <c r="C156" i="3" l="1"/>
  <c r="B157" i="3"/>
  <c r="C157" i="3" l="1"/>
  <c r="B158" i="3"/>
  <c r="C158" i="3" l="1"/>
  <c r="B159" i="3"/>
  <c r="B160" i="3" l="1"/>
  <c r="C159" i="3"/>
  <c r="C160" i="3" l="1"/>
  <c r="B161" i="3"/>
  <c r="C161" i="3" l="1"/>
  <c r="B162" i="3"/>
  <c r="B163" i="3" l="1"/>
  <c r="C162" i="3"/>
  <c r="C163" i="3" l="1"/>
  <c r="B164" i="3"/>
  <c r="B165" i="3" l="1"/>
  <c r="C164" i="3"/>
  <c r="B166" i="3" l="1"/>
  <c r="C165" i="3"/>
  <c r="B167" i="3" l="1"/>
  <c r="C166" i="3"/>
  <c r="C167" i="3" l="1"/>
  <c r="B168" i="3"/>
  <c r="C168" i="3" l="1"/>
  <c r="B169" i="3"/>
  <c r="C169" i="3" l="1"/>
  <c r="B170" i="3"/>
  <c r="C170" i="3" l="1"/>
  <c r="B171" i="3"/>
  <c r="C171" i="3" l="1"/>
  <c r="B172" i="3"/>
  <c r="C172" i="3" s="1"/>
  <c r="U35" i="1"/>
  <c r="U144" i="1"/>
  <c r="T68" i="1"/>
  <c r="T93" i="1"/>
  <c r="U42" i="1"/>
  <c r="U24" i="1"/>
  <c r="T26" i="1"/>
  <c r="U165" i="1"/>
  <c r="U93" i="1"/>
  <c r="U111" i="1"/>
  <c r="U145" i="1"/>
  <c r="U133" i="1"/>
  <c r="U117" i="1"/>
  <c r="U136" i="1"/>
  <c r="T123" i="1"/>
  <c r="T90" i="1"/>
  <c r="U157" i="1"/>
  <c r="U44" i="1"/>
  <c r="T72" i="1"/>
  <c r="U146" i="1"/>
  <c r="T79" i="1"/>
  <c r="U77" i="1"/>
  <c r="T114" i="1"/>
  <c r="U107" i="1"/>
  <c r="T138" i="1"/>
  <c r="U22" i="1"/>
  <c r="U45" i="1"/>
  <c r="T153" i="1"/>
  <c r="U73" i="1"/>
  <c r="T95" i="1"/>
  <c r="T162" i="1"/>
  <c r="U70" i="1"/>
  <c r="U123" i="1"/>
  <c r="U61" i="1"/>
  <c r="T71" i="1"/>
  <c r="U160" i="1"/>
  <c r="T80" i="1"/>
  <c r="U29" i="1"/>
  <c r="U148" i="1"/>
  <c r="T112" i="1"/>
  <c r="U109" i="1"/>
  <c r="T110" i="1"/>
  <c r="T84" i="1"/>
  <c r="U119" i="1"/>
  <c r="T23" i="1"/>
  <c r="T49" i="1"/>
  <c r="U164" i="1"/>
  <c r="T111" i="1"/>
  <c r="U63" i="1"/>
  <c r="U156" i="1"/>
  <c r="T88" i="1"/>
  <c r="T130" i="1"/>
  <c r="T63" i="1"/>
  <c r="T135" i="1"/>
  <c r="U74" i="1"/>
  <c r="U48" i="1"/>
  <c r="U137" i="1"/>
  <c r="U106" i="1"/>
  <c r="T85" i="1"/>
  <c r="T156" i="1"/>
  <c r="T75" i="1"/>
  <c r="T100" i="1"/>
  <c r="T133" i="1"/>
  <c r="T102" i="1"/>
  <c r="T106" i="1"/>
  <c r="U110" i="1"/>
  <c r="U168" i="1"/>
  <c r="T103" i="1"/>
  <c r="T70" i="1"/>
  <c r="U129" i="1"/>
  <c r="T56" i="1"/>
  <c r="T42" i="1"/>
  <c r="T151" i="1"/>
  <c r="T139" i="1"/>
  <c r="U98" i="1"/>
  <c r="T47" i="1"/>
  <c r="T169" i="1"/>
  <c r="T82" i="1"/>
  <c r="U104" i="1"/>
  <c r="U169" i="1"/>
  <c r="T108" i="1"/>
  <c r="U23" i="1"/>
  <c r="T166" i="1"/>
  <c r="U116" i="1"/>
  <c r="T167" i="1"/>
  <c r="T163" i="1"/>
  <c r="U27" i="1"/>
  <c r="T32" i="1"/>
  <c r="T154" i="1"/>
  <c r="U39" i="1"/>
  <c r="T140" i="1"/>
  <c r="U128" i="1"/>
  <c r="T149" i="1"/>
  <c r="U81" i="1"/>
  <c r="U78" i="1"/>
  <c r="T36" i="1"/>
  <c r="T94" i="1"/>
  <c r="U151" i="1"/>
  <c r="T30" i="1"/>
  <c r="T46" i="1"/>
  <c r="T83" i="1"/>
  <c r="T117" i="1"/>
  <c r="U51" i="1"/>
  <c r="T51" i="1"/>
  <c r="U65" i="1"/>
  <c r="U108" i="1"/>
  <c r="U101" i="1"/>
  <c r="T58" i="1"/>
  <c r="T170" i="1"/>
  <c r="T101" i="1"/>
  <c r="U86" i="1"/>
  <c r="T44" i="1"/>
  <c r="T158" i="1"/>
  <c r="T146" i="1"/>
  <c r="U112" i="1"/>
  <c r="T121" i="1"/>
  <c r="T165" i="1"/>
  <c r="U103" i="1"/>
  <c r="T69" i="1"/>
  <c r="T91" i="1"/>
  <c r="U125" i="1"/>
  <c r="T61" i="1"/>
  <c r="U50" i="1"/>
  <c r="U79" i="1"/>
  <c r="U120" i="1"/>
  <c r="U25" i="1"/>
  <c r="T118" i="1"/>
  <c r="U92" i="1"/>
  <c r="U58" i="1"/>
  <c r="U162" i="1"/>
  <c r="U80" i="1"/>
  <c r="U38" i="1"/>
  <c r="U71" i="1"/>
  <c r="T29" i="1"/>
  <c r="T144" i="1"/>
  <c r="T38" i="1"/>
  <c r="U138" i="1"/>
  <c r="U30" i="1"/>
  <c r="T97" i="1"/>
  <c r="U166" i="1"/>
  <c r="T45" i="1"/>
  <c r="U47" i="1"/>
  <c r="T107" i="1"/>
  <c r="U122" i="1"/>
  <c r="T115" i="1"/>
  <c r="T87" i="1"/>
  <c r="T34" i="1"/>
  <c r="U134" i="1"/>
  <c r="T98" i="1"/>
  <c r="T160" i="1"/>
  <c r="T73" i="1"/>
  <c r="T141" i="1"/>
  <c r="U158" i="1"/>
  <c r="T126" i="1"/>
  <c r="U150" i="1"/>
  <c r="U87" i="1"/>
  <c r="U149" i="1"/>
  <c r="U82" i="1"/>
  <c r="T65" i="1"/>
  <c r="U130" i="1"/>
  <c r="T54" i="1"/>
  <c r="U76" i="1"/>
  <c r="U26" i="1"/>
  <c r="T164" i="1"/>
  <c r="U49" i="1"/>
  <c r="T152" i="1"/>
  <c r="U64" i="1"/>
  <c r="U143" i="1"/>
  <c r="U147" i="1"/>
  <c r="T127" i="1"/>
  <c r="T120" i="1"/>
  <c r="U67" i="1"/>
  <c r="U62" i="1"/>
  <c r="U36" i="1"/>
  <c r="T31" i="1"/>
  <c r="T104" i="1"/>
  <c r="U57" i="1"/>
  <c r="T125" i="1"/>
  <c r="T59" i="1"/>
  <c r="T134" i="1"/>
  <c r="T39" i="1"/>
  <c r="T99" i="1"/>
  <c r="U131" i="1"/>
  <c r="T57" i="1"/>
  <c r="U56" i="1"/>
  <c r="U155" i="1"/>
  <c r="U68" i="1"/>
  <c r="T37" i="1"/>
  <c r="T161" i="1"/>
  <c r="T155" i="1"/>
  <c r="T78" i="1"/>
  <c r="T24" i="1"/>
  <c r="T33" i="1"/>
  <c r="T147" i="1"/>
  <c r="U154" i="1"/>
  <c r="T137" i="1"/>
  <c r="T129" i="1"/>
  <c r="U40" i="1"/>
  <c r="T159" i="1"/>
  <c r="U161" i="1"/>
  <c r="U46" i="1"/>
  <c r="T86" i="1"/>
  <c r="U60" i="1"/>
  <c r="U127" i="1"/>
  <c r="T113" i="1"/>
  <c r="U34" i="1"/>
  <c r="U91" i="1"/>
  <c r="T22" i="1"/>
  <c r="Q10" i="1" s="1"/>
  <c r="U142" i="1"/>
  <c r="T105" i="1"/>
  <c r="U113" i="1"/>
  <c r="T157" i="1"/>
  <c r="U90" i="1"/>
  <c r="T67" i="1"/>
  <c r="T132" i="1"/>
  <c r="U66" i="1"/>
  <c r="T122" i="1"/>
  <c r="U153" i="1"/>
  <c r="U132" i="1"/>
  <c r="U53" i="1"/>
  <c r="T109" i="1"/>
  <c r="T92" i="1"/>
  <c r="T119" i="1"/>
  <c r="U89" i="1"/>
  <c r="U170" i="1"/>
  <c r="U52" i="1"/>
  <c r="U100" i="1"/>
  <c r="T41" i="1"/>
  <c r="U59" i="1"/>
  <c r="T40" i="1"/>
  <c r="T89" i="1"/>
  <c r="U171" i="1"/>
  <c r="U95" i="1"/>
  <c r="U94" i="1"/>
  <c r="U72" i="1"/>
  <c r="U84" i="1"/>
  <c r="T150" i="1"/>
  <c r="U135" i="1"/>
  <c r="U102" i="1"/>
  <c r="T55" i="1"/>
  <c r="U33" i="1"/>
  <c r="U41" i="1"/>
  <c r="T27" i="1"/>
  <c r="T128" i="1"/>
  <c r="U85" i="1"/>
  <c r="T48" i="1"/>
  <c r="U152" i="1"/>
  <c r="U75" i="1"/>
  <c r="U97" i="1"/>
  <c r="U140" i="1"/>
  <c r="T81" i="1"/>
  <c r="U115" i="1"/>
  <c r="U28" i="1"/>
  <c r="U139" i="1"/>
  <c r="T168" i="1"/>
  <c r="T148" i="1"/>
  <c r="U54" i="1"/>
  <c r="T145" i="1"/>
  <c r="U126" i="1"/>
  <c r="U31" i="1"/>
  <c r="U83" i="1"/>
  <c r="U163" i="1"/>
  <c r="T77" i="1"/>
  <c r="T171" i="1"/>
  <c r="T116" i="1"/>
  <c r="T53" i="1"/>
  <c r="U37" i="1"/>
  <c r="T131" i="1"/>
  <c r="T35" i="1"/>
  <c r="U88" i="1"/>
  <c r="T64" i="1"/>
  <c r="T62" i="1"/>
  <c r="T74" i="1"/>
  <c r="T52" i="1"/>
  <c r="T43" i="1"/>
  <c r="T60" i="1"/>
  <c r="U32" i="1"/>
  <c r="T142" i="1"/>
  <c r="U43" i="1"/>
  <c r="T124" i="1"/>
  <c r="T50" i="1"/>
  <c r="T76" i="1"/>
  <c r="T28" i="1"/>
  <c r="U167" i="1"/>
  <c r="U114" i="1"/>
  <c r="T143" i="1"/>
  <c r="T96" i="1"/>
  <c r="U96" i="1"/>
  <c r="T25" i="1" l="1"/>
  <c r="T66" i="1"/>
  <c r="U141" i="1"/>
  <c r="U69" i="1"/>
  <c r="U118" i="1"/>
  <c r="U159" i="1"/>
  <c r="U121" i="1"/>
  <c r="T136" i="1"/>
  <c r="U124" i="1"/>
  <c r="U99" i="1"/>
  <c r="U105" i="1"/>
  <c r="U55" i="1"/>
</calcChain>
</file>

<file path=xl/comments1.xml><?xml version="1.0" encoding="utf-8"?>
<comments xmlns="http://schemas.openxmlformats.org/spreadsheetml/2006/main">
  <authors>
    <author>Usuário do Windows</author>
  </authors>
  <commentList>
    <comment ref="G3" authorId="0" shapeId="0">
      <text>
        <r>
          <rPr>
            <b/>
            <sz val="9"/>
            <color indexed="81"/>
            <rFont val="Segoe UI"/>
            <family val="2"/>
          </rPr>
          <t>Regra de Idade não aplicada neste simulador</t>
        </r>
      </text>
    </comment>
    <comment ref="J3" authorId="0" shapeId="0">
      <text>
        <r>
          <rPr>
            <b/>
            <sz val="9"/>
            <color indexed="81"/>
            <rFont val="Segoe UI"/>
            <family val="2"/>
          </rPr>
          <t>Somente para Descontos Obrigatórios. Esta regra não esta sendo aplicada devido a regra determinada em PEL</t>
        </r>
      </text>
    </comment>
    <comment ref="L3" authorId="0" shapeId="0">
      <text>
        <r>
          <rPr>
            <b/>
            <sz val="9"/>
            <color indexed="81"/>
            <rFont val="Segoe UI"/>
            <family val="2"/>
          </rPr>
          <t>Somente para Descontos Obrigatórios. Esta regra não esta sendo aplicada devido a regra determinada em PEL</t>
        </r>
      </text>
    </comment>
  </commentList>
</comments>
</file>

<file path=xl/sharedStrings.xml><?xml version="1.0" encoding="utf-8"?>
<sst xmlns="http://schemas.openxmlformats.org/spreadsheetml/2006/main" count="1459" uniqueCount="288">
  <si>
    <t>RELAÇÃO DE VERBAS</t>
  </si>
  <si>
    <t>Seq</t>
  </si>
  <si>
    <t>RUBRICAS</t>
  </si>
  <si>
    <t>TIPO DE RÚBRICA</t>
  </si>
  <si>
    <t>Usa verba até qual idade?</t>
  </si>
  <si>
    <t>PESQUISA DE RUBRICA</t>
  </si>
  <si>
    <t>Lista das rubricas localizadas</t>
  </si>
  <si>
    <t xml:space="preserve">     SIMULADOR PARA CONCESSÃO DE CRÉDITO CONSIGNADO</t>
  </si>
  <si>
    <t>Observação:</t>
  </si>
  <si>
    <t>Não mexer! Fórmula. Utilizado na aba Simulador (Localização de Verbas)</t>
  </si>
  <si>
    <t>Não mexer! Fórmula.</t>
  </si>
  <si>
    <t>Nova Seq</t>
  </si>
  <si>
    <t>Portabilidade / Refin</t>
  </si>
  <si>
    <t>Sim</t>
  </si>
  <si>
    <t>Total - Remuneração</t>
  </si>
  <si>
    <t>Total - Descontos</t>
  </si>
  <si>
    <t>Verbas de Remuneração</t>
  </si>
  <si>
    <t>Remuneração</t>
  </si>
  <si>
    <t>Descontos</t>
  </si>
  <si>
    <t>Observação</t>
  </si>
  <si>
    <t>Não</t>
  </si>
  <si>
    <t>Idade do Servidor:</t>
  </si>
  <si>
    <t>-</t>
  </si>
  <si>
    <t>Detalhamento do Cálculo da Margem</t>
  </si>
  <si>
    <t>Total &gt;&gt;&gt;</t>
  </si>
  <si>
    <t>Verbas</t>
  </si>
  <si>
    <t>Limitador Idade</t>
  </si>
  <si>
    <t>Bruta</t>
  </si>
  <si>
    <t>Resumo Cálculo da Margem</t>
  </si>
  <si>
    <t>Desc. Facultativos</t>
  </si>
  <si>
    <t>MARGEM DISPONÍVEL</t>
  </si>
  <si>
    <t>Portabiliza / Refinancia</t>
  </si>
  <si>
    <t>Margem Líquida</t>
  </si>
  <si>
    <t>Valor</t>
  </si>
  <si>
    <t>anos</t>
  </si>
  <si>
    <t>Verbas de Descontos</t>
  </si>
  <si>
    <t>Margem Disponível para:</t>
  </si>
  <si>
    <t>Operação Nova</t>
  </si>
  <si>
    <t>Considera no Cálculo da Margem (Ativos)</t>
  </si>
  <si>
    <t>Discriminação</t>
  </si>
  <si>
    <t>Vínculo do Servidor:</t>
  </si>
  <si>
    <t>Desconto Obrigatorio</t>
  </si>
  <si>
    <t>Verba Variavel</t>
  </si>
  <si>
    <t>Desconto Facultativo</t>
  </si>
  <si>
    <t>Verba Fixa</t>
  </si>
  <si>
    <t>Vínculos do Servidor:</t>
  </si>
  <si>
    <t>Portabilidade / Refin:</t>
  </si>
  <si>
    <t>By Controle de Convênios</t>
  </si>
  <si>
    <t>Prazo</t>
  </si>
  <si>
    <t>Portab/ Refin</t>
  </si>
  <si>
    <t>Facultativo</t>
  </si>
  <si>
    <t>Obrigatório</t>
  </si>
  <si>
    <t>Pensionista</t>
  </si>
  <si>
    <t>SUBSIDIO</t>
  </si>
  <si>
    <t>Desconto</t>
  </si>
  <si>
    <t>MUNICIPAIS</t>
  </si>
  <si>
    <t>Prefeitura de São Paulo - SP</t>
  </si>
  <si>
    <t>PADRAO SALARIO ADMITIDO/CONTR</t>
  </si>
  <si>
    <t>6A PARTE S/VCT INCORP - ACAO JUDICIAL</t>
  </si>
  <si>
    <t>6A PARTE S/ADICIONAL - ACAO JUDICIAL</t>
  </si>
  <si>
    <t>ADIC. S/SEXTA - PARTE - ACAO JUDICIAL</t>
  </si>
  <si>
    <t>PENSAO NORMAL</t>
  </si>
  <si>
    <t>DIF. POR EXERCICIO DE OUTRO CARGO</t>
  </si>
  <si>
    <t>AULAS EXCEDENTES NIVEL II</t>
  </si>
  <si>
    <t>REGIME DEDIC.PROFISSIONAL EXCLUSIVA</t>
  </si>
  <si>
    <t>GRAT.DE DEDICACAO INTEGRAL</t>
  </si>
  <si>
    <t>1/3 - DEDIC.EXCL.C/BEN.INCORP.</t>
  </si>
  <si>
    <t>QUEBRA DE CAIXA</t>
  </si>
  <si>
    <t>ADICIONAL RAIO X</t>
  </si>
  <si>
    <t>GRAT. POR RISCO DE VIDA E SAUDE</t>
  </si>
  <si>
    <t>GRAT. MOTORISTAS AMBULANCIA</t>
  </si>
  <si>
    <t>FUNCAO GRATIFICADA</t>
  </si>
  <si>
    <t>GRAT. SERVICO EXTRAORDINARIO</t>
  </si>
  <si>
    <t>HORAS EXTRAS/SUPLEMENTARES</t>
  </si>
  <si>
    <t>GRAT. DE AUXILIAR DE ENSINO</t>
  </si>
  <si>
    <t>ABONO</t>
  </si>
  <si>
    <t>GRAT. DE REPRESENTACAO LEI 7747/72</t>
  </si>
  <si>
    <t>GRAT. ESPECIAL LEI N.7747/72</t>
  </si>
  <si>
    <t>SEXTA PARTE ACAO JUDICIAL</t>
  </si>
  <si>
    <t>TERCA PARTE/ACAO JUDICIAL</t>
  </si>
  <si>
    <t>HORA - AULA EXCEDENTE - JEX</t>
  </si>
  <si>
    <t>HORA TRABALHO EXCEDENTE - TEX</t>
  </si>
  <si>
    <t>INSALUBRIDADE INCORPORADA</t>
  </si>
  <si>
    <t>HORA AULA EXC. - JEX INCORPORADA</t>
  </si>
  <si>
    <t>HORA TRAB.EXC.TEX INCORPOR.</t>
  </si>
  <si>
    <t>RDPE - LEI 9265/81 - ACAO JUDICIAL</t>
  </si>
  <si>
    <t>VANTAGEM ORDEM PESSOAL - LEI 11.231/92</t>
  </si>
  <si>
    <t>DIF. NIVEL SUPERIOR - ACAO JUDICIAL</t>
  </si>
  <si>
    <t>VALOR DOS PROVENTOS - MEDIA</t>
  </si>
  <si>
    <t>MEDIA GRATIF DIFICIL ACESSO</t>
  </si>
  <si>
    <t>MEDIA GRATIF APRESENT PUBLICA</t>
  </si>
  <si>
    <t>MEDIA GRATIF SERVICO NOTURNO</t>
  </si>
  <si>
    <t>MEDIA GRAT ESP PR SER ASS S</t>
  </si>
  <si>
    <t>MEDIA ADIC INSALUBRIDADE</t>
  </si>
  <si>
    <t>MEDIA DIF EXERC OUTRO CARGO</t>
  </si>
  <si>
    <t>MEDIA FUNCAO GRATIFICADA</t>
  </si>
  <si>
    <t>MEDIA GRATIF APOIO EDUCACAO</t>
  </si>
  <si>
    <t>MEDIA GRATIF MOT AMBULANCIA</t>
  </si>
  <si>
    <t>MEDIA GRATIF NIVEL SUPERIOR</t>
  </si>
  <si>
    <t>MEDIA GRATIF PLANTAO SEMANAL</t>
  </si>
  <si>
    <t>MEDIA GRATIF ESP REGIM PLANTAO</t>
  </si>
  <si>
    <t>MEDIA GRAT ESP SERV SOC S - GES</t>
  </si>
  <si>
    <t>MEDIA GRAT ESP ESPEC ASS DES S</t>
  </si>
  <si>
    <t>MEDIA GRATIF EXEC TRAB TECNICO</t>
  </si>
  <si>
    <t>MEDIA VANT DEC INC DIREITOS/VANT</t>
  </si>
  <si>
    <t>MEDIA JORNADA 40 H - J40</t>
  </si>
  <si>
    <t>MEDIA JORNADA HORA AULA EX - JEX</t>
  </si>
  <si>
    <t>MEDIA JORNADA TRAB EXC - TEX</t>
  </si>
  <si>
    <t>MEDIA PLANTAO COMPLEM - J40</t>
  </si>
  <si>
    <t>MEDIA PREMIO PRODUTIV DESEMP</t>
  </si>
  <si>
    <t>MEDIA QUEBRA DE CAIXA</t>
  </si>
  <si>
    <t>MEDIA RDPE</t>
  </si>
  <si>
    <t>MEDIA GRATIFICACAO DE FUNCAO</t>
  </si>
  <si>
    <t>MEDIA GRATIFICACAO DE GABINETE</t>
  </si>
  <si>
    <t>GRAT ATIVIDADE - ACAO JUDICIAL</t>
  </si>
  <si>
    <t>MEDIA GAP</t>
  </si>
  <si>
    <t>MEDIA EXERC ATIVIDADE REGIOES ESTRATEGICAS</t>
  </si>
  <si>
    <t>MEDIA ADIC PERIC/PENOSIDADE</t>
  </si>
  <si>
    <t>SUBSIDIO APOSENTADO</t>
  </si>
  <si>
    <t>VALOR ACAO MEDIA APOSENTADO</t>
  </si>
  <si>
    <t>MEDIA REM CARGO COMISSAO</t>
  </si>
  <si>
    <t>MEDIA INSALUBRIDADE SUBSIDIO</t>
  </si>
  <si>
    <t>MEDIA PERIC/PEN SUBSIDIO</t>
  </si>
  <si>
    <t>MEDIA GRAT PLANT EXT SUBSIDIO</t>
  </si>
  <si>
    <t>MEDIA JORNADA INCORPORADA</t>
  </si>
  <si>
    <t>PADRAO DE VENCIMENTO/SALARIO</t>
  </si>
  <si>
    <t>6A. PARTE SOBRE ADICIONAL - ACAO JUDICIAL</t>
  </si>
  <si>
    <t>ADICIONAL SOBRE 6A PARTE - ACAO JUDICIAL</t>
  </si>
  <si>
    <t>DIFERENCA POR ACIDENTE</t>
  </si>
  <si>
    <t>AUXILIO ACIDENTARIO</t>
  </si>
  <si>
    <t>PRODUTIVIDADE FISCAL</t>
  </si>
  <si>
    <t>GRAT REGIME ESP TRABALHO POLICIAL</t>
  </si>
  <si>
    <t>GRATIFICACAO DE FUNCAO</t>
  </si>
  <si>
    <t>HONORARIOS ADVOCATICIOS</t>
  </si>
  <si>
    <t>ADICIONAL 1º QUINQUENIO</t>
  </si>
  <si>
    <t>ADICIONAL 2º QUINQUENIO</t>
  </si>
  <si>
    <t>ADICIONAL 3º QUINQUENIO</t>
  </si>
  <si>
    <t>ADICIONAL 4º QUINQUENIO</t>
  </si>
  <si>
    <t>ADICIONAL 5º QUINQUENIO</t>
  </si>
  <si>
    <t>ADICIONAL 6º QUINQUENIO</t>
  </si>
  <si>
    <t>ADICIONAL 7º QUINQUENIO</t>
  </si>
  <si>
    <t>ADICIONAL LEI Nº 6645/65 ART.5º</t>
  </si>
  <si>
    <t>SEXTA PARTE</t>
  </si>
  <si>
    <t>2/3 PROCURADORES</t>
  </si>
  <si>
    <t>JORNADA H - 40</t>
  </si>
  <si>
    <t>GRATIF. DE NIVEL SUPERIOR</t>
  </si>
  <si>
    <t>DIREITOS ASSEGURADOS</t>
  </si>
  <si>
    <t>GRATIFICACAO DE GABINETE</t>
  </si>
  <si>
    <t>ADICIONAL DE FUNCAO</t>
  </si>
  <si>
    <t>VERBA DE REPRESENTACAO - L 11511/94</t>
  </si>
  <si>
    <t>VANTAGEM DE ORDEM PESSOAL - RDPE</t>
  </si>
  <si>
    <t>VANTAGEM DE ORDEM PESSOAL - ART 117/118</t>
  </si>
  <si>
    <t>H. AULA PESSOAL VARIAVEL - INCORPORADA</t>
  </si>
  <si>
    <t>PISO MINIMO</t>
  </si>
  <si>
    <t>VANTAGEM DE ORDEM PESSOAL</t>
  </si>
  <si>
    <t>LEI 13.400/02 - ART. 2º</t>
  </si>
  <si>
    <t>6ª PARTE - PROCURADOR</t>
  </si>
  <si>
    <t>DIF. ACAO JUDICIAL - LEI 13.748/03</t>
  </si>
  <si>
    <t>GRAT PRODUTIVIDADE FISCAL - META GLOBAL</t>
  </si>
  <si>
    <t>PISO SALARIO MINIMO</t>
  </si>
  <si>
    <t>DIF ACAO JUDICIAL - LEI Nº 14591/07</t>
  </si>
  <si>
    <t>GRAT DESEMP ATIVIDADE</t>
  </si>
  <si>
    <t>PREMIO PROD DESEMP</t>
  </si>
  <si>
    <t>VOP RAIO X - LEI 14713/08</t>
  </si>
  <si>
    <t>VOP ART 73 - LEI 14591/07</t>
  </si>
  <si>
    <t>VOP ART 73 - LEI 14712/08</t>
  </si>
  <si>
    <t>VOP ART 73 - LEI 14713/08</t>
  </si>
  <si>
    <t>GRAT DESEMP ATIV SOCIAL</t>
  </si>
  <si>
    <t>GRAT ATIVIDADE</t>
  </si>
  <si>
    <t>ACAO JUDICIAL SEXTA PARTE</t>
  </si>
  <si>
    <t>GRAT DESEM ATIV CULT DES</t>
  </si>
  <si>
    <t>VOP LEI 15.380/2011</t>
  </si>
  <si>
    <t>ABONO SUPLEMENTAR</t>
  </si>
  <si>
    <t>VOP - LEI 16417/16</t>
  </si>
  <si>
    <t>VOP ART 44 - LEI 15.510/2011</t>
  </si>
  <si>
    <t>ACAO JUDICIAL QUINQUENIO</t>
  </si>
  <si>
    <t>VOP - ART 4º LEI 15.567/2012</t>
  </si>
  <si>
    <t>ABONO DE COMPATIBILIZACAO - LEI 15.682/2013</t>
  </si>
  <si>
    <t>GRAT APR PUBLICA - ACAO JUDICIAL</t>
  </si>
  <si>
    <t>ABONO SUPLEMENTAR GCM LEI 16.080/2014</t>
  </si>
  <si>
    <t>SUBSIDIO EFETIVO</t>
  </si>
  <si>
    <t>SUBSIDIO ADMITIDO E CONTRATADO</t>
  </si>
  <si>
    <t>SUBSIDIO COMPLEMENTAR</t>
  </si>
  <si>
    <t>REMUNERACAO CARGO EM COMISSAO</t>
  </si>
  <si>
    <t>VOP QTG ART 37 LEI 16.239/15</t>
  </si>
  <si>
    <t>MEDIA DIF ACESSO SUBSIDIO</t>
  </si>
  <si>
    <t>INSALUBR INCORP OPT SUBSIDIO</t>
  </si>
  <si>
    <t>GRAT RISCO VIDA - AC JUDICIAL</t>
  </si>
  <si>
    <t>SALARIO MUNIMO - JUD</t>
  </si>
  <si>
    <t>AJUSTE CREDITO - ACAO JUDICIAL</t>
  </si>
  <si>
    <t>Conforme Portaria SG 94 de 04/10/2019 - Considera no cálculo para servidores Ativos e Aposentados</t>
  </si>
  <si>
    <t>Conforme Portaria SG 94 de 04/10/2019 - Considera no cálculo para Servidores Aposentados</t>
  </si>
  <si>
    <t>Conforme Portaria SG 94 de 04/10/2019 - Considera no cálculo para Servidores Pensionistas</t>
  </si>
  <si>
    <t>Conforme Portaria SG 94 de 04/10/2019 - Considera no cálculo para Servidores Ativos</t>
  </si>
  <si>
    <t>Conforme Portaria SG 94 de 04/10/2019 - Considera no cálculo para Servidores Ativos // Lei 11511 Art. 106  § 2º Os profissionais ocupantes de cargos de provimento em comissão, que não mantêm outro vínculo funcional com a Prefeitura do Município de São Paulo, passarão a receber a Verba de Representação de que trata o artigo 116 desta Lei, automaticamente, a partir da data da sua respectiva integração.
§ 3º O disposto neste artigo aplica-se aos aposentados na condição de servidores públicos municipais, que exerçam cargos de provimento em comissão.</t>
  </si>
  <si>
    <t>Conforme Portaria SG 94 de 04/10/2019 - Considera no cálculo para Servidores Ativos / Solicitamos apoio ao comercial para entender esta verba junto ao convênio.</t>
  </si>
  <si>
    <t>Conforme Portaria SG 94 de 04/10/2019 - Considera no cálculo para servidores Ativos e Aposentados // Solicitamos apoio ao comercial para entender esta verba junto ao convênio</t>
  </si>
  <si>
    <t>Conforme Portaria SG 94 de 04/10/2019 - Considera no cálculo para servidores Ativos e Aposentados // Lei 13400/02 de 01082002: Art. 3º Para os efeitos do pagamento da verba honorária, prevista na Lei nº 9.402, de 24 de dezembro de 1981, ora alterada, os valores serão apurados considerando-se o período compreendido entre os dias 19 e 18 dos meses imediatamente anteriores, respectivamente.</t>
  </si>
  <si>
    <t>Conforme Portaria SG 94 de 04/10/2019 - Considera no cálculo para servidores Ativos e Aposentados // Lei 13400/02 de 01082002: 2º A parcela atualmente percebida pelos integrantes da carreira de Procurador do Município, nos termos do inciso III do artigo 2º da Lei nº 9.402, de 24 de dezembro de 1981, ora alterado, fica tornada permanente e será fixada no valor correspondente à média, devidamente atualizada com base na variação do Índice de Preços ao Consumidor, da Fundação Instituto de Pesquisas Econômicas da Universidade de São Paulo - FIPE, percebida, nos termos do artigo 3º da Lei nº 9.402, de 24 de dezembro de 1981, nos últimos 5 (cinco) anos, contados da publicação desta lei. § 1º - A parcela tornada permanente nos termos deste artigo não constituirá, sob nenhuma hipótese, base de cálculo para adicionais, gratificações ou benefícios de qualquer natureza.</t>
  </si>
  <si>
    <t>Conforme Portaria SG 94 de 04/10/2019 - Considera no cálculo para servidores Ativos e Aposentados //  Os atuais titulares de cargos do Quadro de Atividades Artísticas, exclusivamente, e os admitidos em funções correspondentes poderão optar, no prazo de 90 (noventa) dias, contados da data de publicação desta lei, por perceber seus vencimentos e salários de acordo com as referências aprovadas para a Escala de Vencimentos constante do Anexo II do presente diploma legal, renunciando, nessa hipótese, à percepção e incorporação das seguintes vantagens:
I - do adicional de função artística instituído pela Lei nº 11.231, de 6 de julho de 1992;
II - da ajuda de custo instituída pela Lei nº 9.168, de 1980, e legislação subsequente;
III - das gratificações especiais previstas no art. 9º da Lei nº 9.168, de 1980, e legislação subsequente;
IV - da gratificação especial pelo exercício de atividades cenotécnicas e de palco instituída pelo art. 16 da Lei nº 13.861, de 29 de junho de 2004;
V - da gratificação por apresentação pública instituída pela Lei nº 9.168, de 1980, e legislação subsequente.
§ 1º Em nenhuma hipótese o servidor perceberá sua remuneração de acordo com a nova Escala de Vencimentos sem que manifeste sua opção.
§ 2º Até a realização da opção, os servidores receberão seus vencimentos ou salários na forma prevista na legislação vigente, devidamente reajustados de acordo com as normas em vigor, mantidas a referência de vencimentos atual de seus cargos ou funções e os demais benefícios nos percentuais e bases atualmente percebidos.
§ 3º Realizada a opção, o servidor fará jus à nova remuneração no mês seguinte ao da opção.
§ 4º No caso do servidor que se encontrar afastado por motivo de doença, férias e outros, o prazo consignado no "caput" deste artigo será computado a partir da data em que reassumir suas funções, sem prejuízo do direito de realizar a opção no período de afastamento.
§ 5º Aos servidores que não realizarem a opção prevista neste artigo, fica assegurado o direito:
I - de permanecer recebendo vencimentos ou salários de acordo com a Escala de Vencimentos atualmente vigente para o Quadro de Atividades Artísticas, devidamente reajustada nos termos da legislação específica, mantidas as atuais referências de seus cargos ou funções e respectivas jornadas de trabalho;
II - de permanecer recebendo o adicional de função artística tornado permanente;
III - de perceber, em seus proventos ou pensões, a gratificação por apresentação pública incorporada na forma da lei até 11 de agosto de 2005.
Art. 37 Ao servidor optante nos termos do art. 36 desta lei, cujo enquadramento na nova situação resulte remuneração inferior à atualmente auferida, fica assegurada a percepção da diferença entre esta e a nova remuneração, que será paga a título de Vantagem de Ordem Pessoal - VOP, a qual se agregará de forma permanente aos vencimentos, inclusive para os efeitos de aposentadoria, décimo terceiro salário e férias.</t>
  </si>
  <si>
    <t xml:space="preserve">Conforme Portaria SG 94 de 04/10/2019 - Considera no cálculo para servidores Ativos e Aposentados // Lei 14591: Art. 37 Ao servidor optante nos termos do art. 29 desta lei, cujo enquadramento na nova escala de vencimentos resulte valor inferior ao do padrão atual, decorrente de decisão judicial, fica assegurada a percepção da diferença, que será paga a título de Vantagem de Ordem Pessoal - VOP e considerada para efeitos de aposentadoria, décimo terceiro salário e férias.
§ 1º A diferença paga a título de VOP será reajustada na mesma data e no mesmo percentual dos reajustes de vencimentos dos servidores municipais, bem como eventuais reajustes setoriais.
§ 2º Fica assegurado o pagamento de eventuais diferenças no cálculo dos adicionais por tempo de serviço, decorrentes de decisões judiciais, por ocasião do enquadramento nas novas referências de vencimento, que serão incluídas na VOP prevista no "caput" deste artigo.
</t>
  </si>
  <si>
    <t>Conforme Portaria SG 94 de 04/10/2019 - Considera no cálculo para servidores Ativos e Aposentados // Lei 16417 Art. 46 Os Agentes Vistores poderão ser afastados do exercício do respectivo cargo, com ou sem prejuízo de vencimentos, na forma e critérios da legislação própria.</t>
  </si>
  <si>
    <t>Conforme Portaria SG 94 de 04/10/2019 - Considera no cálculo para servidores Ativos e Aposentados // Lei 15510/2011: Art. 35 Os atuais titulares de cargos de provimento efetivo de Auditor-Fiscal Tributário Municipal que realizaram a opção prevista na Lei nº 14.712, de 2008, poderão, no prazo de 60 (sessenta) dias, contados da data da publicação desta lei, optar pelo plano de carreiras ora instituído e por receberem seus vencimentos de acordo com a Escala de Vencimentos constante da Tabela "A" do Anexo II desta lei, bem como por perceber a Gratificação de Produtividade Fiscal na conformidade das novas regras de cálculo do valor do ponto definidas no Capítulo X.
§ 1º A opção de que trata o "caput" deste artigo implicará incompatibilidade com a percepção da Gratificação de Produtividade Fiscal calculada de acordo com as regras do valor do ponto previstas na legislação em vigor na data da publicação desta lei.
§ 2º A opção de que se trata o "caput" deste artigo será provisória durante o prazo de 60 (sessenta) dias, a contar do mês seguinte ao da opção, findo o qual adquirirá caráter irretratável, se não houver, nesse período, expressa manifestação de desistência da opção feita.
§ 3º No caso de desistência da opção, o Auditor-Fiscal Tributário Municipal reverterá à situação anterior, ficando-lhe assegurado o direito de percepção da Gratificação de Produtividade Fiscal e de seus vencimentos, na forma do art. 36 desta lei.
§ 4º O tempo de permanência nas carreiras de que trata esta lei, correspondente à opção provisória, para os que dela desistirem, será contado na situação anterior para todos os efeitos legais.
§ 5º A opção pelo novo plano de carreira e a sua eventual desistência só poderá ser efetuada uma única vez.
§ 6º Para os Auditores-Fiscais Tributários Municipais que se encontrarem afastados por motivo de doença, férias e outros, o prazo consignado neste artigo será computado a partir da data em que reassumirem suas funções, sem prejuízo do direito de opção durante o período de afastamento.
//  Art. 44 Ao Auditor-Fiscal Tributário Municipal que realizar a opção prevista no art. 35 desta lei e cujo enquadramento na nova situação acarretar redução da remuneração atual, será paga a diferença apurada, a título de Vantagem de Ordem Pessoal - VOP, que se agregará de forma permanente aos vencimentos para efeitos de aposentadoria, décimo terceiro salário e férias.
§ 1º Para os efeitos do disposto no "caput" deste artigo, considera-se:
I - remuneração na nova situação: a nova referência de vencimentos após a integração, a Gratificação de Produtividade Fiscal recalculada nos termos do art. 18 da Lei nº 8.645, de 1977, com as alterações subsequentes, na redação conferida pelo art. 29 desta lei, considerada a média de pontos do Auditor-Fiscal Tributário Municipal nos últimos 24 (vinte e quatro) meses, bem como os adicionais por tempo de serviço e a sexta-parte do vencimento;
II - remuneração atual: o padrão de vencimentos previsto na legislação vigente na data da publicação desta lei ou decorrente de decisão judicial, a Gratificação de Produtividade Fiscal calculada na forma da legislação em vigor na data da publicação desta lei ou de decisão judicial, considerada a média de pontos do Auditor-Fiscal Tributário Municipal nos últimos 24 (vinte e quatro) meses, bem como os adicionais por tempo de serviço, a sexta-parte do vencimento, calculados na forma da legislação em vigor ou de decisão judicial, e a Vantagem de Ordem Pessoal - VOP prevista na Lei nº 14.712, de 2008, calculada na forma da referida lei ou de decisão judicial.
§ 2º A Vantagem de Ordem Pessoal - VOP de que trata este artigo será apurada na primeira etapa da integração e recalculada após a realização da segunda etapa.
§ 3º Até o respectivo recálculo, a Vantagem de Ordem Pessoal - VOP terá caráter transitório, adquirindo caráter definitivo após a segunda etapa da integração ou a confirmação a que se refere o art. 41 desta lei.
§ 4º A diferença paga a título de Vantagem de Ordem Pessoal - VOP será reajustada na mesma data e pelo mesmo percentual dos reajustes de vencimentos dos servidores municipais, na forma da legislação específica, bem como eventuais reajustes e revalorizações setoriais.
§ 5º O disposto neste artigo aplica-se ao Auditor-Fiscal Tributário Municipal que venha a obter decisões judiciais favoráveis após a opção e a integração nas novas referências de vencimentos instituídas por esta lei, relacionadas aos padrões de vencimentos, aos adicionais por tempo de serviço, à sexta-parte e à Vantagem de Ordem Pessoal - VOP prevista na Lei nº 14.712, de 2008.
 // Art. 40 Na segunda etapa, o Auditor-Fiscal Tributário Municipal, considerada a posição obtida na primeira etapa, será enquadrado na Categoria imediatamente superior do mesmo Nível ou, quando for o caso, na Categoria 1 do Nível II, desde que implemente, cumulativamente, as seguintes condições:
I - obter percentual mínimo de aproveitamento correspondente a 50% (cinquenta por cento) da pontuação máxima na Prova de Conhecimentos da Avaliação Anual de Atuação Potencial a realizar-se no exercício de 2012, observado o prazo fixado no § 2º do art. 38 desta lei;</t>
  </si>
  <si>
    <t>Conforme Portaria SG 94 de 04/10/2019 - Considera no cálculo para servidores Ativos e Aposentados. Manual de Normas e Procedimentos (Saldo da pasta do convênio): O servidor que completar 20 (vinte) anos de efetivo exercício no serviço público terá
direito à importância equivalente à sexta parte dos vencimentos integrais.
A sexta parte incorpora-se aos vencimentos para todos os efeitos legais.</t>
  </si>
  <si>
    <t>Conforme Portaria SG 94 de 04/10/2019 - Considera no cálculo para servidores Ativos e Aposentados. Manual de Normas e Procedimentos (Saldo da pasta do convênio): O servidor que completar 20 (vinte) anos de efetivo exercício no serviço público terá
direito</t>
  </si>
  <si>
    <t>Conforme Portaria SG 94 de 04/10/2019 - Considera no cálculo para Servidores Aposentados e para os Ativos somente a parte incorporada. Não temos como identificar a parte incorporada.</t>
  </si>
  <si>
    <t>Conforme Portaria SG 94 de 04/10/2019 - Considera no cálculo para servidores Ativos e Aposentados // Verba Incorporada</t>
  </si>
  <si>
    <t>Conforme Portaria SG 94 de 04/10/2019 - Considera no cálculo para servidores Ativos e Aposentados  // Verba Incorporada</t>
  </si>
  <si>
    <t>Conforme Portaria SG 94 de 04/10/2019 - Considera no cálculo para servidores Ativos e Aposentados // Verba paga ao servidor que pode se aposentar porém opta por continuar na Ativa. Ver. Documento Subsídio salvo na rede</t>
  </si>
  <si>
    <t>Conforme Portaria SG 94 de 04/10/2019 - Considera no cálculo para servidores Ativos e Aposentados //  // Verba paga ao servidor que pode se aposentar porém opta por continuar na Ativa. Ver. Documento Subsídio salvo na rede</t>
  </si>
  <si>
    <r>
      <t xml:space="preserve">Conforme Portaria SG 94 de 04/10/2019 - Considera no cálculo para servidores Ativos e Aposentados // Dispõe sobre a criação de cargos de </t>
    </r>
    <r>
      <rPr>
        <b/>
        <u/>
        <sz val="6"/>
        <rFont val="Arial"/>
        <family val="2"/>
      </rPr>
      <t>Assistente de Diretor de Escola no Quadro do Magistério</t>
    </r>
    <r>
      <rPr>
        <sz val="6"/>
        <rFont val="Arial"/>
        <family val="2"/>
      </rPr>
      <t xml:space="preserve"> Municipal; altera a redação do § 3º do art. 91 da Lei n° 11.434, de 12 de novembro de 1993, relativo à </t>
    </r>
    <r>
      <rPr>
        <b/>
        <u/>
        <sz val="6"/>
        <rFont val="Arial"/>
        <family val="2"/>
      </rPr>
      <t>remuneração de servidores quando no exercício dos cargos de provimento em comissão ali referidos;</t>
    </r>
    <r>
      <rPr>
        <sz val="6"/>
        <rFont val="Arial"/>
        <family val="2"/>
      </rPr>
      <t xml:space="preserve"> altera o valor da gratificação de que trata o art. 3° da Lei nº 10.429, de 24 de fevereiro de 1988, </t>
    </r>
    <r>
      <rPr>
        <b/>
        <u/>
        <sz val="6"/>
        <rFont val="Arial"/>
        <family val="2"/>
      </rPr>
      <t>devida aos membros do Conselho Municipal de Educação;</t>
    </r>
    <r>
      <rPr>
        <sz val="6"/>
        <rFont val="Arial"/>
        <family val="2"/>
      </rPr>
      <t xml:space="preserve"> </t>
    </r>
    <r>
      <rPr>
        <b/>
        <u/>
        <sz val="7"/>
        <rFont val="Arial"/>
        <family val="2"/>
      </rPr>
      <t>institui Abono de Compatibilização para os servidores que especifica</t>
    </r>
    <r>
      <rPr>
        <sz val="6"/>
        <rFont val="Arial"/>
        <family val="2"/>
      </rPr>
      <t>; acrescenta referências de vencimentos ao Quadro do Magistério Municipal.</t>
    </r>
  </si>
  <si>
    <t>Conforme Portaria SG 94 de 04/10/2019 - Considera no cálculo para Servidores Ativos  // Verba paga ao servidor que pode se aposentar porém opta por continuar na Ativa. Ver. Documento Subsídio salvo na rede</t>
  </si>
  <si>
    <t>IMPOSTO DE RENDA NA FONTE</t>
  </si>
  <si>
    <t>CCB BRASIL</t>
  </si>
  <si>
    <t>SINDSEP-SIND SERV PUB MUN SP</t>
  </si>
  <si>
    <t>BANCO SANTANDER</t>
  </si>
  <si>
    <t>SINPEEM-SIND PROF ED ENS MUNIC</t>
  </si>
  <si>
    <t>CONTRIBUICAO RPPS / IPREM</t>
  </si>
  <si>
    <t>ATUALIZ MONET - DEC 31131/92</t>
  </si>
  <si>
    <t>Não entra no cálculo - Desconto de Indenização</t>
  </si>
  <si>
    <t>AUXILIO REFEICAO</t>
  </si>
  <si>
    <t>Não entra no cálculo pois a Verba de Remuneração "Auxilio Refeicao" não é considerada também</t>
  </si>
  <si>
    <t>ATUALIZ MONET - DEBITO</t>
  </si>
  <si>
    <t>Não entra no cálculo - Desconto de Correção</t>
  </si>
  <si>
    <t>Não entra no cálculo</t>
  </si>
  <si>
    <t>DESC H-AULA/ADI/ATI DAS JORNS</t>
  </si>
  <si>
    <t>Desconto Hora Aula</t>
  </si>
  <si>
    <t>MINAS BRASIL</t>
  </si>
  <si>
    <t>Empréstimo Pessoal</t>
  </si>
  <si>
    <t>Mensalidade</t>
  </si>
  <si>
    <t>Seguro de Vida</t>
  </si>
  <si>
    <t>BANCO PAN</t>
  </si>
  <si>
    <t>CAIXA ECONOMICA FEDERAL</t>
  </si>
  <si>
    <t>Admitido</t>
  </si>
  <si>
    <t>Efetivo/Ativo</t>
  </si>
  <si>
    <t>Efetivo/Inativo</t>
  </si>
  <si>
    <t>Estab.Constit</t>
  </si>
  <si>
    <t>Desc. Obrigatório</t>
  </si>
  <si>
    <t>Margem 30% (Para Facultativos)</t>
  </si>
  <si>
    <t>Margem 35% (Para Obrigatórios)</t>
  </si>
  <si>
    <t>PADRAO VCT/SALARIO APOSENTADO</t>
  </si>
  <si>
    <t>Rendimentos considerados no Cálculo da Margem dos (Efetivo/Ativo ou Admitido ou Estab. Constit ou ):</t>
  </si>
  <si>
    <t>Descontos considerados no Cálculo da Margem dos (Efetivo/Ativo ou Admitido ou Estab. Constit ou ):</t>
  </si>
  <si>
    <t>Considera no Cálculo da Margem (Inativos/Pensionista)</t>
  </si>
  <si>
    <t>Esta regra não esta sendo aplicada no cálculo da margem disponível, devido a regra determinda em PEL = 30% da Remuneração Líquida</t>
  </si>
  <si>
    <t>ATUALIZAÇÕES DO  SIMULADOR</t>
  </si>
  <si>
    <t>SIAPE</t>
  </si>
  <si>
    <t>Data</t>
  </si>
  <si>
    <t>Versão</t>
  </si>
  <si>
    <t>Atualização</t>
  </si>
  <si>
    <t>v1</t>
  </si>
  <si>
    <t>Confecção do Simulador. Alimentado com 150 verbas</t>
  </si>
  <si>
    <t xml:space="preserve">Conforme Portaria SG 94 de 04/10/2019 - Considera no cálculo para servidores Ativos e Aposentados / § 4º Na hipótese de desligamento da Jornada Especial de 40 (quarenta) horas de trabalho semanais - J-40, o profissional retornará à Jornada Básica de seu cargo, vedada nova inclusão nessa Jornada Especial, a pedido, e deixará de perceber a VOP prevista neste artigo, assegurada sua percepção na aposentadoria ou pensão na forma do § 6º deste artigo. Ver tópico </t>
  </si>
  <si>
    <t xml:space="preserve">Conforme Portaria SG 94 de 04/10/2019 - Considera no cálculo para servidores Ativos e Aposentados // § 4º Na hipótese de desligamento da Jornada Especial de 40 (quarenta) horas de trabalho semanais - J-40, o profissional retornará à Jornada Básica de seu cargo, vedada nova inclusão nessa Jornada Especial, a pedido, e deixará de perceber a VOP prevista neste artigo, assegurada sua percepção na aposentadoria ou pensão na forma do § 6º deste artigo. Ver tópico </t>
  </si>
  <si>
    <t>v2</t>
  </si>
  <si>
    <t>Inclusão de verbas</t>
  </si>
  <si>
    <t>DIF. ACAO JUDICIAL - LEI 13.748/04</t>
  </si>
  <si>
    <t>Acompanhamos a classificação da verba DIF. ACAO JUDICIAL - LEI 13.748/03</t>
  </si>
  <si>
    <t>BANCO BMG</t>
  </si>
  <si>
    <t>BANCO DAYCOVAL</t>
  </si>
  <si>
    <t>OLE CONSIGNADO</t>
  </si>
  <si>
    <t>Cartão Consignado (Conforme decreto existe % apartado de 5% para cartão)</t>
  </si>
  <si>
    <t>APROFEM-SIND PROF FUNC ENS MUN</t>
  </si>
  <si>
    <t>Admitido/Inativo</t>
  </si>
  <si>
    <t>Rendimentos considerados no Cálculo da Margem dos (Admitido/Inativo ou Efetivo/Inativo ou Pensionista):</t>
  </si>
  <si>
    <t>Descontos considerados no Cálculo da Margem para (Admitido/Inativo ou Efetivo/Inativo ou Pensionista):</t>
  </si>
  <si>
    <t>GRATIFICACAO DIFICIL ACESSO</t>
  </si>
  <si>
    <t>1/3 FERIAS</t>
  </si>
  <si>
    <t>v3</t>
  </si>
  <si>
    <t>v4</t>
  </si>
  <si>
    <t>Verba variável</t>
  </si>
  <si>
    <t>SALARIO ESPOSA</t>
  </si>
  <si>
    <t>Não entra no cálculo pois a Verba de Remuneração "Adiant 13 salario" não é considerada também</t>
  </si>
  <si>
    <t>ATUALIZ.MONET. - DEC.31131/92</t>
  </si>
  <si>
    <t>DECIMO TERCEIRO</t>
  </si>
  <si>
    <t>ADIANTAMENTO 13 SALARIO</t>
  </si>
  <si>
    <t>VALE ALIMENTACAO</t>
  </si>
  <si>
    <t>ABONO DE PERMANENCIA</t>
  </si>
  <si>
    <t>Verba paga ao servidor elegível para aposentadoria, porém se mantem na ativa. Exemplo: CCH Marisa Cardoso de Abreu, base 07/2020, MAT 7557515, onde esta verba é o reembolso da verba contribuição RPPS/IPREM</t>
  </si>
  <si>
    <t>v5</t>
  </si>
  <si>
    <t>AUXILIO TRANSPORTE</t>
  </si>
  <si>
    <t>CONTRIB. AUXILIO TRANSPORTE</t>
  </si>
  <si>
    <t>Não entra no cálculo pois a Verba de Remuneração "Contrib. Auxilio Transporte" não é considerada também</t>
  </si>
  <si>
    <t>BANCO SAFRA</t>
  </si>
  <si>
    <t>ABONO LEI 17.224/19</t>
  </si>
  <si>
    <t>ASSOC SERVIDORES MUNICIPAIS</t>
  </si>
  <si>
    <t>Não consta na Portaria SG 94 de 04/10/2019. A LEI Nº 17.224 de 31 de Outubro de 2019, Art. 17 e 18 cita que este abono é devido ao "Agente de Apoio" e ao "Assistente de Gestão de Políticas públicas" e ao "Assistente de Suporte Técnico", porém que o servidor perde em algumas situações</t>
  </si>
  <si>
    <r>
      <rPr>
        <b/>
        <u/>
        <sz val="12"/>
        <rFont val="Calibri"/>
        <family val="2"/>
        <scheme val="minor"/>
      </rPr>
      <t xml:space="preserve">Versão 05 </t>
    </r>
    <r>
      <rPr>
        <i/>
        <u/>
        <sz val="10"/>
        <rFont val="Calibri"/>
        <family val="2"/>
        <scheme val="minor"/>
      </rPr>
      <t>de 03/09/2020</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</si>
</sst>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 #,##0.00_-;_-* &quot;-&quot;??_-;_-@_-"/>
    <numFmt numFmtId="164" formatCode="00"/>
    <numFmt numFmtId="165" formatCode="#,##0.00_ ;[Red]\-#,##0.00\ "/>
    <numFmt numFmtId="166" formatCode="#,##0.00_ ;\-#,##0.00\ "/>
    <numFmt numFmtId="167" formatCode="000"/>
  </numFmts>
  <fonts count="70" x14ac:knownFonts="1">
    <font>
      <sz val="11"/>
      <color theme="1"/>
      <name val="Calibri"/>
      <family val="2"/>
      <scheme val="minor"/>
    </font>
    <font>
      <sz val="11"/>
      <color theme="1"/>
      <name val="Calibri"/>
      <family val="2"/>
      <scheme val="minor"/>
    </font>
    <font>
      <b/>
      <sz val="13"/>
      <color theme="0"/>
      <name val="Arial"/>
      <family val="2"/>
    </font>
    <font>
      <b/>
      <sz val="10"/>
      <color theme="0"/>
      <name val="Arial"/>
      <family val="2"/>
    </font>
    <font>
      <sz val="8"/>
      <name val="Arial"/>
      <family val="2"/>
    </font>
    <font>
      <b/>
      <sz val="8"/>
      <name val="Arial"/>
      <family val="2"/>
    </font>
    <font>
      <b/>
      <sz val="8"/>
      <color theme="0"/>
      <name val="Arial"/>
      <family val="2"/>
    </font>
    <font>
      <sz val="10"/>
      <color theme="1"/>
      <name val="Calibri"/>
      <family val="2"/>
      <scheme val="minor"/>
    </font>
    <font>
      <b/>
      <sz val="10"/>
      <name val="Arial"/>
      <family val="2"/>
    </font>
    <font>
      <sz val="8"/>
      <name val="Calibri"/>
      <family val="2"/>
      <scheme val="minor"/>
    </font>
    <font>
      <b/>
      <i/>
      <sz val="12"/>
      <color theme="0"/>
      <name val="Calibri"/>
      <family val="2"/>
      <scheme val="minor"/>
    </font>
    <font>
      <sz val="12"/>
      <color theme="1"/>
      <name val="Calibri"/>
      <family val="2"/>
      <scheme val="minor"/>
    </font>
    <font>
      <b/>
      <i/>
      <sz val="12"/>
      <name val="Calibri"/>
      <family val="2"/>
      <scheme val="minor"/>
    </font>
    <font>
      <b/>
      <sz val="7"/>
      <color rgb="FFFF0000"/>
      <name val="Arial"/>
      <family val="2"/>
    </font>
    <font>
      <b/>
      <sz val="9"/>
      <color rgb="FFFF0000"/>
      <name val="Arial"/>
      <family val="2"/>
    </font>
    <font>
      <b/>
      <sz val="15"/>
      <name val="Arial"/>
      <family val="2"/>
    </font>
    <font>
      <sz val="9"/>
      <name val="Arial"/>
      <family val="2"/>
    </font>
    <font>
      <b/>
      <sz val="9"/>
      <color indexed="9"/>
      <name val="Arial"/>
      <family val="2"/>
    </font>
    <font>
      <b/>
      <sz val="9"/>
      <name val="Arial"/>
      <family val="2"/>
    </font>
    <font>
      <b/>
      <sz val="11"/>
      <color rgb="FF000000"/>
      <name val="Calibri"/>
      <family val="2"/>
    </font>
    <font>
      <b/>
      <sz val="9"/>
      <color theme="1"/>
      <name val="Calibri"/>
      <family val="2"/>
      <scheme val="minor"/>
    </font>
    <font>
      <b/>
      <sz val="8"/>
      <color theme="0"/>
      <name val="Calibri"/>
      <family val="2"/>
      <scheme val="minor"/>
    </font>
    <font>
      <sz val="8"/>
      <color theme="0"/>
      <name val="Arial"/>
      <family val="2"/>
    </font>
    <font>
      <sz val="11"/>
      <color rgb="FFFF0000"/>
      <name val="Calibri"/>
      <family val="2"/>
      <scheme val="minor"/>
    </font>
    <font>
      <b/>
      <i/>
      <sz val="10"/>
      <color rgb="FFFF0000"/>
      <name val="Calibri"/>
      <family val="2"/>
      <scheme val="minor"/>
    </font>
    <font>
      <b/>
      <sz val="9"/>
      <color rgb="FFFF0000"/>
      <name val="Calibri"/>
      <family val="2"/>
      <scheme val="minor"/>
    </font>
    <font>
      <sz val="9"/>
      <color rgb="FFFF0000"/>
      <name val="Arial"/>
      <family val="2"/>
    </font>
    <font>
      <sz val="10"/>
      <color rgb="FFFF0000"/>
      <name val="Calibri"/>
      <family val="2"/>
      <scheme val="minor"/>
    </font>
    <font>
      <sz val="12"/>
      <color rgb="FFFF0000"/>
      <name val="Calibri"/>
      <family val="2"/>
      <scheme val="minor"/>
    </font>
    <font>
      <b/>
      <i/>
      <sz val="8"/>
      <color theme="0"/>
      <name val="Arial"/>
      <family val="2"/>
    </font>
    <font>
      <b/>
      <i/>
      <sz val="8"/>
      <color theme="1"/>
      <name val="Arial"/>
      <family val="2"/>
    </font>
    <font>
      <sz val="8"/>
      <color theme="1"/>
      <name val="Arial"/>
      <family val="2"/>
    </font>
    <font>
      <b/>
      <i/>
      <u/>
      <sz val="12"/>
      <color theme="3" tint="-0.249977111117893"/>
      <name val="Calibri"/>
      <family val="2"/>
      <scheme val="minor"/>
    </font>
    <font>
      <b/>
      <u/>
      <sz val="12"/>
      <color theme="0"/>
      <name val="Calibri"/>
      <family val="2"/>
      <scheme val="minor"/>
    </font>
    <font>
      <b/>
      <i/>
      <sz val="10"/>
      <color theme="0"/>
      <name val="Calibri"/>
      <family val="2"/>
      <scheme val="minor"/>
    </font>
    <font>
      <b/>
      <i/>
      <sz val="15"/>
      <color theme="0"/>
      <name val="Calibri"/>
      <family val="2"/>
      <scheme val="minor"/>
    </font>
    <font>
      <b/>
      <i/>
      <sz val="10"/>
      <name val="Calibri"/>
      <family val="2"/>
      <scheme val="minor"/>
    </font>
    <font>
      <b/>
      <i/>
      <sz val="8"/>
      <name val="Arial"/>
      <family val="2"/>
    </font>
    <font>
      <b/>
      <i/>
      <sz val="9"/>
      <color theme="0"/>
      <name val="Calibri"/>
      <family val="2"/>
      <scheme val="minor"/>
    </font>
    <font>
      <b/>
      <i/>
      <sz val="10"/>
      <color theme="0"/>
      <name val="Arial"/>
      <family val="2"/>
    </font>
    <font>
      <b/>
      <sz val="9"/>
      <color theme="0"/>
      <name val="Arial"/>
      <family val="2"/>
    </font>
    <font>
      <b/>
      <i/>
      <sz val="12"/>
      <color theme="1"/>
      <name val="Calibri"/>
      <family val="2"/>
      <scheme val="minor"/>
    </font>
    <font>
      <b/>
      <i/>
      <u/>
      <sz val="14"/>
      <color theme="0"/>
      <name val="Calibri"/>
      <family val="2"/>
      <scheme val="minor"/>
    </font>
    <font>
      <b/>
      <i/>
      <sz val="15"/>
      <name val="Calibri"/>
      <family val="2"/>
      <scheme val="minor"/>
    </font>
    <font>
      <b/>
      <i/>
      <sz val="12"/>
      <color theme="9" tint="-0.499984740745262"/>
      <name val="Calibri"/>
      <family val="2"/>
      <scheme val="minor"/>
    </font>
    <font>
      <sz val="11"/>
      <name val="Calibri"/>
      <family val="2"/>
      <scheme val="minor"/>
    </font>
    <font>
      <i/>
      <sz val="8"/>
      <name val="Calibri"/>
      <family val="2"/>
      <scheme val="minor"/>
    </font>
    <font>
      <sz val="6"/>
      <name val="Arial"/>
      <family val="2"/>
    </font>
    <font>
      <b/>
      <sz val="12"/>
      <color theme="0"/>
      <name val="Calibri"/>
      <family val="2"/>
      <scheme val="minor"/>
    </font>
    <font>
      <b/>
      <sz val="8"/>
      <color rgb="FFFFFF00"/>
      <name val="Arial"/>
      <family val="2"/>
    </font>
    <font>
      <b/>
      <sz val="11"/>
      <color rgb="FFFF0000"/>
      <name val="Calibri"/>
      <family val="2"/>
      <scheme val="minor"/>
    </font>
    <font>
      <b/>
      <i/>
      <u/>
      <sz val="9"/>
      <color theme="3" tint="-0.499984740745262"/>
      <name val="Calibri"/>
      <family val="2"/>
      <scheme val="minor"/>
    </font>
    <font>
      <b/>
      <i/>
      <sz val="8"/>
      <color theme="0"/>
      <name val="Calibri"/>
      <family val="2"/>
      <scheme val="minor"/>
    </font>
    <font>
      <sz val="11"/>
      <color theme="0"/>
      <name val="Calibri"/>
      <family val="2"/>
      <scheme val="minor"/>
    </font>
    <font>
      <b/>
      <sz val="15"/>
      <color theme="1"/>
      <name val="Calibri"/>
      <family val="2"/>
      <scheme val="minor"/>
    </font>
    <font>
      <b/>
      <i/>
      <sz val="14"/>
      <name val="Calibri"/>
      <family val="2"/>
      <scheme val="minor"/>
    </font>
    <font>
      <b/>
      <i/>
      <u/>
      <sz val="12"/>
      <name val="Calibri"/>
      <family val="2"/>
      <scheme val="minor"/>
    </font>
    <font>
      <b/>
      <u/>
      <sz val="12"/>
      <name val="Calibri"/>
      <family val="2"/>
      <scheme val="minor"/>
    </font>
    <font>
      <i/>
      <u/>
      <sz val="10"/>
      <name val="Calibri"/>
      <family val="2"/>
      <scheme val="minor"/>
    </font>
    <font>
      <b/>
      <i/>
      <sz val="11"/>
      <color rgb="FFFF0000"/>
      <name val="Calibri"/>
      <family val="2"/>
      <scheme val="minor"/>
    </font>
    <font>
      <b/>
      <u/>
      <sz val="6"/>
      <name val="Arial"/>
      <family val="2"/>
    </font>
    <font>
      <b/>
      <u/>
      <sz val="7"/>
      <name val="Arial"/>
      <family val="2"/>
    </font>
    <font>
      <b/>
      <sz val="9"/>
      <color indexed="81"/>
      <name val="Segoe UI"/>
      <family val="2"/>
    </font>
    <font>
      <b/>
      <i/>
      <sz val="11"/>
      <color theme="0"/>
      <name val="Calibri"/>
      <family val="2"/>
      <scheme val="minor"/>
    </font>
    <font>
      <sz val="10"/>
      <color theme="0"/>
      <name val="Calibri"/>
      <family val="2"/>
      <scheme val="minor"/>
    </font>
    <font>
      <b/>
      <i/>
      <u/>
      <sz val="11"/>
      <color theme="0"/>
      <name val="Calibri"/>
      <family val="2"/>
      <scheme val="minor"/>
    </font>
    <font>
      <b/>
      <i/>
      <u/>
      <sz val="17"/>
      <color rgb="FF0033CC"/>
      <name val="Calibri"/>
      <family val="2"/>
      <scheme val="minor"/>
    </font>
    <font>
      <b/>
      <sz val="14"/>
      <color theme="0"/>
      <name val="Calibri"/>
      <family val="2"/>
      <scheme val="minor"/>
    </font>
    <font>
      <sz val="8"/>
      <color theme="0"/>
      <name val="Calibri"/>
      <family val="2"/>
      <scheme val="minor"/>
    </font>
    <font>
      <sz val="8"/>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3"/>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rgb="FF00206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1"/>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00B050"/>
        <bgColor indexed="64"/>
      </patternFill>
    </fill>
    <fill>
      <patternFill patternType="solid">
        <fgColor theme="3" tint="0.39997558519241921"/>
        <bgColor indexed="64"/>
      </patternFill>
    </fill>
  </fills>
  <borders count="73">
    <border>
      <left/>
      <right/>
      <top/>
      <bottom/>
      <diagonal/>
    </border>
    <border>
      <left/>
      <right style="thin">
        <color indexed="64"/>
      </right>
      <top/>
      <bottom/>
      <diagonal/>
    </border>
    <border>
      <left style="thin">
        <color auto="1"/>
      </left>
      <right style="thin">
        <color auto="1"/>
      </right>
      <top style="thin">
        <color auto="1"/>
      </top>
      <bottom style="thin">
        <color auto="1"/>
      </bottom>
      <diagonal/>
    </border>
    <border>
      <left style="medium">
        <color indexed="64"/>
      </left>
      <right/>
      <top style="medium">
        <color indexed="64"/>
      </top>
      <bottom style="thin">
        <color indexed="64"/>
      </bottom>
      <diagonal/>
    </border>
    <border>
      <left style="hair">
        <color indexed="64"/>
      </left>
      <right style="thin">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top style="thin">
        <color indexed="64"/>
      </top>
      <bottom/>
      <diagonal/>
    </border>
    <border>
      <left/>
      <right style="thin">
        <color indexed="64"/>
      </right>
      <top style="thin">
        <color indexed="64"/>
      </top>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theme="0"/>
      </right>
      <top style="thin">
        <color indexed="64"/>
      </top>
      <bottom style="thin">
        <color indexed="64"/>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right/>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style="double">
        <color indexed="64"/>
      </bottom>
      <diagonal/>
    </border>
    <border>
      <left style="thin">
        <color indexed="64"/>
      </left>
      <right style="thin">
        <color indexed="64"/>
      </right>
      <top/>
      <bottom/>
      <diagonal/>
    </border>
    <border>
      <left/>
      <right/>
      <top style="thin">
        <color indexed="64"/>
      </top>
      <bottom style="thin">
        <color indexed="64"/>
      </bottom>
      <diagonal/>
    </border>
    <border>
      <left style="double">
        <color indexed="64"/>
      </left>
      <right style="hair">
        <color indexed="64"/>
      </right>
      <top style="hair">
        <color indexed="64"/>
      </top>
      <bottom style="hair">
        <color indexed="64"/>
      </bottom>
      <diagonal/>
    </border>
    <border>
      <left style="double">
        <color indexed="64"/>
      </left>
      <right/>
      <top style="thin">
        <color indexed="64"/>
      </top>
      <bottom style="thin">
        <color indexed="64"/>
      </bottom>
      <diagonal/>
    </border>
    <border>
      <left style="double">
        <color indexed="64"/>
      </left>
      <right/>
      <top/>
      <bottom/>
      <diagonal/>
    </border>
    <border>
      <left style="double">
        <color indexed="64"/>
      </left>
      <right style="hair">
        <color indexed="64"/>
      </right>
      <top style="thin">
        <color indexed="64"/>
      </top>
      <bottom style="thin">
        <color indexed="64"/>
      </bottom>
      <diagonal/>
    </border>
    <border>
      <left style="medium">
        <color indexed="64"/>
      </left>
      <right/>
      <top/>
      <bottom/>
      <diagonal/>
    </border>
    <border>
      <left/>
      <right/>
      <top/>
      <bottom style="medium">
        <color indexed="64"/>
      </bottom>
      <diagonal/>
    </border>
    <border>
      <left/>
      <right/>
      <top style="double">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double">
        <color indexed="64"/>
      </right>
      <top style="thin">
        <color indexed="64"/>
      </top>
      <bottom/>
      <diagonal/>
    </border>
    <border>
      <left style="thin">
        <color auto="1"/>
      </left>
      <right style="hair">
        <color auto="1"/>
      </right>
      <top style="hair">
        <color auto="1"/>
      </top>
      <bottom style="hair">
        <color auto="1"/>
      </bottom>
      <diagonal/>
    </border>
    <border>
      <left style="thin">
        <color auto="1"/>
      </left>
      <right style="hair">
        <color auto="1"/>
      </right>
      <top/>
      <bottom style="hair">
        <color auto="1"/>
      </bottom>
      <diagonal/>
    </border>
    <border>
      <left style="thin">
        <color auto="1"/>
      </left>
      <right style="hair">
        <color auto="1"/>
      </right>
      <top style="thin">
        <color auto="1"/>
      </top>
      <bottom style="thin">
        <color indexed="64"/>
      </bottom>
      <diagonal/>
    </border>
    <border>
      <left style="hair">
        <color auto="1"/>
      </left>
      <right style="thin">
        <color auto="1"/>
      </right>
      <top style="thin">
        <color auto="1"/>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double">
        <color indexed="64"/>
      </right>
      <top/>
      <bottom/>
      <diagonal/>
    </border>
    <border>
      <left style="thin">
        <color indexed="64"/>
      </left>
      <right style="double">
        <color indexed="64"/>
      </right>
      <top/>
      <bottom style="thin">
        <color indexed="64"/>
      </bottom>
      <diagonal/>
    </border>
    <border>
      <left style="medium">
        <color indexed="64"/>
      </left>
      <right/>
      <top/>
      <bottom style="thin">
        <color indexed="64"/>
      </bottom>
      <diagonal/>
    </border>
    <border>
      <left style="thin">
        <color indexed="64"/>
      </left>
      <right style="hair">
        <color auto="1"/>
      </right>
      <top/>
      <bottom style="thin">
        <color indexed="64"/>
      </bottom>
      <diagonal/>
    </border>
    <border>
      <left style="hair">
        <color auto="1"/>
      </left>
      <right style="thin">
        <color indexed="64"/>
      </right>
      <top/>
      <bottom style="thin">
        <color indexed="64"/>
      </bottom>
      <diagonal/>
    </border>
    <border>
      <left style="medium">
        <color indexed="64"/>
      </left>
      <right/>
      <top style="thin">
        <color indexed="64"/>
      </top>
      <bottom/>
      <diagonal/>
    </border>
    <border>
      <left style="double">
        <color indexed="64"/>
      </left>
      <right/>
      <top style="double">
        <color indexed="64"/>
      </top>
      <bottom style="medium">
        <color indexed="64"/>
      </bottom>
      <diagonal/>
    </border>
    <border>
      <left style="double">
        <color indexed="64"/>
      </left>
      <right/>
      <top/>
      <bottom style="thin">
        <color indexed="64"/>
      </bottom>
      <diagonal/>
    </border>
    <border>
      <left style="thin">
        <color rgb="FFFFFF00"/>
      </left>
      <right/>
      <top style="thin">
        <color rgb="FFFFFF00"/>
      </top>
      <bottom style="thin">
        <color rgb="FFFFFF00"/>
      </bottom>
      <diagonal/>
    </border>
    <border>
      <left/>
      <right style="thin">
        <color rgb="FFFFFF00"/>
      </right>
      <top style="thin">
        <color rgb="FFFFFF00"/>
      </top>
      <bottom style="thin">
        <color rgb="FFFFFF00"/>
      </bottom>
      <diagonal/>
    </border>
    <border>
      <left/>
      <right/>
      <top style="thin">
        <color rgb="FFFFFF00"/>
      </top>
      <bottom style="thin">
        <color rgb="FFFFFF00"/>
      </bottom>
      <diagonal/>
    </border>
    <border>
      <left style="thin">
        <color rgb="FFFFFF00"/>
      </left>
      <right style="thin">
        <color rgb="FFFFFF00"/>
      </right>
      <top style="thin">
        <color rgb="FFFFFF00"/>
      </top>
      <bottom style="thin">
        <color rgb="FFFFFF00"/>
      </bottom>
      <diagonal/>
    </border>
    <border>
      <left style="thin">
        <color auto="1"/>
      </left>
      <right style="thin">
        <color auto="1"/>
      </right>
      <top/>
      <bottom style="thin">
        <color auto="1"/>
      </bottom>
      <diagonal/>
    </border>
    <border>
      <left/>
      <right style="medium">
        <color theme="9"/>
      </right>
      <top style="thin">
        <color indexed="64"/>
      </top>
      <bottom/>
      <diagonal/>
    </border>
    <border>
      <left/>
      <right style="medium">
        <color theme="9"/>
      </right>
      <top/>
      <bottom/>
      <diagonal/>
    </border>
    <border>
      <left style="mediumDashed">
        <color rgb="FFFFFF00"/>
      </left>
      <right/>
      <top style="mediumDashed">
        <color rgb="FFFFFF00"/>
      </top>
      <bottom/>
      <diagonal/>
    </border>
    <border>
      <left/>
      <right/>
      <top style="mediumDashed">
        <color rgb="FFFFFF00"/>
      </top>
      <bottom/>
      <diagonal/>
    </border>
    <border>
      <left style="mediumDashed">
        <color rgb="FFFFFF00"/>
      </left>
      <right/>
      <top/>
      <bottom/>
      <diagonal/>
    </border>
    <border>
      <left style="thin">
        <color indexed="64"/>
      </left>
      <right style="thin">
        <color rgb="FFFFFF00"/>
      </right>
      <top style="thin">
        <color rgb="FFFFFF00"/>
      </top>
      <bottom style="thin">
        <color rgb="FFFFFF00"/>
      </bottom>
      <diagonal/>
    </border>
    <border>
      <left style="thin">
        <color indexed="64"/>
      </left>
      <right/>
      <top style="thin">
        <color rgb="FFFFFF00"/>
      </top>
      <bottom style="thin">
        <color rgb="FFFFFF00"/>
      </bottom>
      <diagonal/>
    </border>
    <border>
      <left style="thin">
        <color auto="1"/>
      </left>
      <right style="thin">
        <color auto="1"/>
      </right>
      <top style="thin">
        <color rgb="FFFFFF00"/>
      </top>
      <bottom style="thin">
        <color rgb="FFFFFF00"/>
      </bottom>
      <diagonal/>
    </border>
    <border>
      <left style="thin">
        <color theme="0"/>
      </left>
      <right/>
      <top style="thin">
        <color indexed="64"/>
      </top>
      <bottom style="thin">
        <color indexed="64"/>
      </bottom>
      <diagonal/>
    </border>
    <border>
      <left/>
      <right style="medium">
        <color indexed="64"/>
      </right>
      <top style="medium">
        <color indexed="64"/>
      </top>
      <bottom/>
      <diagonal/>
    </border>
    <border>
      <left/>
      <right/>
      <top style="medium">
        <color indexed="64"/>
      </top>
      <bottom/>
      <diagonal/>
    </border>
    <border>
      <left/>
      <right style="medium">
        <color theme="9"/>
      </right>
      <top style="medium">
        <color indexed="64"/>
      </top>
      <bottom/>
      <diagonal/>
    </border>
    <border>
      <left/>
      <right style="double">
        <color indexed="64"/>
      </right>
      <top style="medium">
        <color indexed="64"/>
      </top>
      <bottom/>
      <diagonal/>
    </border>
    <border>
      <left style="thin">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s>
  <cellStyleXfs count="2">
    <xf numFmtId="0" fontId="0" fillId="0" borderId="0"/>
    <xf numFmtId="43" fontId="1" fillId="0" borderId="0" applyFont="0" applyFill="0" applyBorder="0" applyAlignment="0" applyProtection="0"/>
  </cellStyleXfs>
  <cellXfs count="310">
    <xf numFmtId="0" fontId="0" fillId="0" borderId="0" xfId="0"/>
    <xf numFmtId="0" fontId="0" fillId="2" borderId="0" xfId="0" applyFill="1"/>
    <xf numFmtId="49" fontId="0" fillId="0" borderId="0" xfId="0" applyNumberFormat="1" applyAlignment="1">
      <alignment horizontal="center"/>
    </xf>
    <xf numFmtId="0" fontId="0" fillId="0" borderId="0" xfId="0" applyAlignment="1">
      <alignment horizontal="center"/>
    </xf>
    <xf numFmtId="0" fontId="7" fillId="0" borderId="0" xfId="0" applyFont="1"/>
    <xf numFmtId="0" fontId="0" fillId="0" borderId="0" xfId="0" applyProtection="1"/>
    <xf numFmtId="0" fontId="8" fillId="4" borderId="0" xfId="0" applyFont="1" applyFill="1" applyBorder="1" applyAlignment="1">
      <alignment horizontal="center" vertical="center" wrapText="1"/>
    </xf>
    <xf numFmtId="0" fontId="0" fillId="0" borderId="7" xfId="0" applyBorder="1" applyProtection="1"/>
    <xf numFmtId="0" fontId="11" fillId="0" borderId="0" xfId="0" applyFont="1" applyBorder="1" applyAlignment="1" applyProtection="1">
      <alignment vertical="top"/>
    </xf>
    <xf numFmtId="0" fontId="0" fillId="0" borderId="0" xfId="0" applyBorder="1" applyProtection="1"/>
    <xf numFmtId="0" fontId="14" fillId="0" borderId="0" xfId="0" applyFont="1" applyFill="1" applyBorder="1" applyProtection="1"/>
    <xf numFmtId="9" fontId="14" fillId="0" borderId="0" xfId="0" applyNumberFormat="1" applyFont="1" applyFill="1" applyProtection="1"/>
    <xf numFmtId="0" fontId="14" fillId="0" borderId="7" xfId="0" applyFont="1" applyFill="1" applyBorder="1" applyProtection="1"/>
    <xf numFmtId="9" fontId="14" fillId="0" borderId="7" xfId="0" applyNumberFormat="1" applyFont="1" applyFill="1" applyBorder="1" applyProtection="1"/>
    <xf numFmtId="0" fontId="15" fillId="0" borderId="17" xfId="0" applyFont="1" applyBorder="1" applyProtection="1"/>
    <xf numFmtId="0" fontId="16" fillId="0" borderId="17" xfId="0" applyFont="1" applyBorder="1" applyProtection="1"/>
    <xf numFmtId="4" fontId="16" fillId="0" borderId="17" xfId="0" applyNumberFormat="1" applyFont="1" applyBorder="1" applyProtection="1"/>
    <xf numFmtId="0" fontId="16" fillId="0" borderId="0" xfId="0" applyFont="1" applyBorder="1" applyProtection="1"/>
    <xf numFmtId="0" fontId="0" fillId="6" borderId="0" xfId="0" applyFill="1" applyProtection="1"/>
    <xf numFmtId="0" fontId="7" fillId="0" borderId="0" xfId="0" applyFont="1" applyAlignment="1">
      <alignment horizontal="center"/>
    </xf>
    <xf numFmtId="0" fontId="0" fillId="0" borderId="20" xfId="0" applyBorder="1" applyProtection="1"/>
    <xf numFmtId="0" fontId="0" fillId="0" borderId="13" xfId="0" applyBorder="1" applyProtection="1"/>
    <xf numFmtId="0" fontId="0" fillId="0" borderId="20" xfId="0" applyBorder="1"/>
    <xf numFmtId="0" fontId="0" fillId="0" borderId="13" xfId="0" applyBorder="1"/>
    <xf numFmtId="0" fontId="0" fillId="0" borderId="23" xfId="0" applyBorder="1"/>
    <xf numFmtId="0" fontId="0" fillId="0" borderId="0" xfId="0" applyBorder="1"/>
    <xf numFmtId="0" fontId="0" fillId="6" borderId="0" xfId="0" applyFill="1"/>
    <xf numFmtId="0" fontId="0" fillId="0" borderId="9" xfId="0" applyBorder="1"/>
    <xf numFmtId="0" fontId="8" fillId="4" borderId="0" xfId="0" applyFont="1" applyFill="1" applyBorder="1" applyAlignment="1">
      <alignment horizontal="center" vertical="center" wrapText="1"/>
    </xf>
    <xf numFmtId="0" fontId="7" fillId="0" borderId="5" xfId="0" applyFont="1" applyBorder="1" applyProtection="1">
      <protection locked="0"/>
    </xf>
    <xf numFmtId="43" fontId="7" fillId="0" borderId="5" xfId="1" applyFont="1" applyBorder="1" applyProtection="1">
      <protection locked="0"/>
    </xf>
    <xf numFmtId="0" fontId="11" fillId="0" borderId="0" xfId="0" applyFont="1" applyBorder="1" applyProtection="1">
      <protection hidden="1"/>
    </xf>
    <xf numFmtId="14" fontId="13" fillId="2" borderId="1" xfId="0" applyNumberFormat="1" applyFont="1" applyFill="1" applyBorder="1" applyAlignment="1" applyProtection="1">
      <alignment horizontal="center" vertical="center" wrapText="1"/>
      <protection hidden="1"/>
    </xf>
    <xf numFmtId="0" fontId="11" fillId="0" borderId="0" xfId="0" applyFont="1" applyBorder="1" applyAlignment="1" applyProtection="1">
      <alignment vertical="top"/>
      <protection hidden="1"/>
    </xf>
    <xf numFmtId="0" fontId="11" fillId="2" borderId="0" xfId="0" applyFont="1" applyFill="1" applyBorder="1" applyProtection="1">
      <protection hidden="1"/>
    </xf>
    <xf numFmtId="0" fontId="0" fillId="0" borderId="0" xfId="0" applyProtection="1">
      <protection hidden="1"/>
    </xf>
    <xf numFmtId="0" fontId="0" fillId="0" borderId="0" xfId="0" applyBorder="1" applyProtection="1">
      <protection hidden="1"/>
    </xf>
    <xf numFmtId="0" fontId="7" fillId="0" borderId="0" xfId="0" applyFont="1" applyProtection="1">
      <protection hidden="1"/>
    </xf>
    <xf numFmtId="0" fontId="7" fillId="0" borderId="0" xfId="0" applyFont="1" applyBorder="1" applyAlignment="1" applyProtection="1">
      <alignment horizontal="center"/>
      <protection hidden="1"/>
    </xf>
    <xf numFmtId="0" fontId="7" fillId="0" borderId="0" xfId="0" applyFont="1" applyBorder="1" applyProtection="1">
      <protection hidden="1"/>
    </xf>
    <xf numFmtId="0" fontId="6" fillId="5" borderId="0" xfId="0" applyNumberFormat="1" applyFont="1" applyFill="1" applyBorder="1" applyAlignment="1" applyProtection="1">
      <alignment horizontal="center" vertical="center" wrapText="1"/>
      <protection hidden="1"/>
    </xf>
    <xf numFmtId="0" fontId="6" fillId="5" borderId="0" xfId="0" applyNumberFormat="1" applyFont="1" applyFill="1" applyBorder="1" applyAlignment="1" applyProtection="1">
      <alignment horizontal="center" vertical="center"/>
      <protection hidden="1"/>
    </xf>
    <xf numFmtId="0" fontId="9" fillId="2" borderId="0" xfId="0" applyNumberFormat="1" applyFont="1" applyFill="1" applyBorder="1" applyAlignment="1" applyProtection="1">
      <alignment horizontal="center" wrapText="1"/>
      <protection hidden="1"/>
    </xf>
    <xf numFmtId="0" fontId="9" fillId="2" borderId="0" xfId="0" applyNumberFormat="1" applyFont="1" applyFill="1" applyBorder="1" applyAlignment="1" applyProtection="1">
      <alignment wrapText="1"/>
      <protection hidden="1"/>
    </xf>
    <xf numFmtId="9" fontId="0" fillId="0" borderId="0" xfId="0" applyNumberFormat="1" applyAlignment="1">
      <alignment horizontal="left"/>
    </xf>
    <xf numFmtId="14" fontId="0" fillId="0" borderId="0" xfId="0" applyNumberFormat="1" applyBorder="1" applyProtection="1">
      <protection hidden="1"/>
    </xf>
    <xf numFmtId="164" fontId="4" fillId="0" borderId="26" xfId="0" applyNumberFormat="1" applyFont="1" applyBorder="1" applyAlignment="1" applyProtection="1">
      <alignment horizontal="center"/>
    </xf>
    <xf numFmtId="0" fontId="0" fillId="0" borderId="28" xfId="0" applyBorder="1" applyProtection="1"/>
    <xf numFmtId="0" fontId="0" fillId="0" borderId="28" xfId="0" applyBorder="1"/>
    <xf numFmtId="0" fontId="0" fillId="0" borderId="9" xfId="0" applyBorder="1" applyProtection="1">
      <protection hidden="1"/>
    </xf>
    <xf numFmtId="0" fontId="23" fillId="0" borderId="0" xfId="0" applyFont="1"/>
    <xf numFmtId="0" fontId="23" fillId="0" borderId="7" xfId="0" applyFont="1" applyBorder="1" applyProtection="1"/>
    <xf numFmtId="0" fontId="23" fillId="0" borderId="8" xfId="0" applyFont="1" applyBorder="1" applyProtection="1"/>
    <xf numFmtId="0" fontId="24" fillId="2" borderId="0" xfId="0" applyFont="1" applyFill="1" applyBorder="1" applyAlignment="1" applyProtection="1">
      <alignment horizontal="right"/>
      <protection hidden="1"/>
    </xf>
    <xf numFmtId="166" fontId="24" fillId="2" borderId="0" xfId="1" applyNumberFormat="1" applyFont="1" applyFill="1" applyBorder="1" applyAlignment="1" applyProtection="1">
      <alignment horizontal="right" vertical="center"/>
      <protection hidden="1"/>
    </xf>
    <xf numFmtId="0" fontId="23" fillId="0" borderId="1" xfId="0" applyFont="1" applyBorder="1" applyProtection="1">
      <protection hidden="1"/>
    </xf>
    <xf numFmtId="43" fontId="25" fillId="2" borderId="0" xfId="1" applyFont="1" applyFill="1" applyBorder="1" applyAlignment="1" applyProtection="1">
      <alignment horizontal="right"/>
      <protection hidden="1"/>
    </xf>
    <xf numFmtId="43" fontId="25" fillId="2" borderId="9" xfId="1" applyFont="1" applyFill="1" applyBorder="1" applyAlignment="1" applyProtection="1">
      <alignment horizontal="right"/>
      <protection hidden="1"/>
    </xf>
    <xf numFmtId="166" fontId="24" fillId="2" borderId="9" xfId="1" applyNumberFormat="1" applyFont="1" applyFill="1" applyBorder="1" applyAlignment="1" applyProtection="1">
      <alignment horizontal="right" vertical="center"/>
      <protection hidden="1"/>
    </xf>
    <xf numFmtId="0" fontId="23" fillId="0" borderId="10" xfId="0" applyFont="1" applyBorder="1"/>
    <xf numFmtId="0" fontId="23" fillId="0" borderId="0" xfId="0" applyFont="1" applyProtection="1"/>
    <xf numFmtId="0" fontId="26" fillId="0" borderId="17" xfId="0" applyFont="1" applyBorder="1" applyProtection="1"/>
    <xf numFmtId="4" fontId="26" fillId="0" borderId="17" xfId="0" applyNumberFormat="1" applyFont="1" applyBorder="1" applyProtection="1"/>
    <xf numFmtId="0" fontId="23" fillId="0" borderId="1" xfId="0" applyFont="1" applyBorder="1"/>
    <xf numFmtId="0" fontId="23" fillId="0" borderId="0" xfId="0" applyFont="1" applyBorder="1" applyProtection="1"/>
    <xf numFmtId="43" fontId="27" fillId="0" borderId="6" xfId="1" applyFont="1" applyBorder="1" applyAlignment="1" applyProtection="1">
      <alignment horizontal="center"/>
      <protection locked="0"/>
    </xf>
    <xf numFmtId="0" fontId="23" fillId="0" borderId="0" xfId="0" applyFont="1" applyBorder="1"/>
    <xf numFmtId="0" fontId="26" fillId="0" borderId="0" xfId="0" applyFont="1" applyBorder="1" applyProtection="1"/>
    <xf numFmtId="0" fontId="23" fillId="0" borderId="9" xfId="0" applyFont="1" applyBorder="1"/>
    <xf numFmtId="0" fontId="28" fillId="2" borderId="0" xfId="0" applyFont="1" applyFill="1" applyBorder="1" applyProtection="1">
      <protection hidden="1"/>
    </xf>
    <xf numFmtId="0" fontId="23" fillId="0" borderId="0" xfId="0" applyFont="1" applyBorder="1" applyProtection="1">
      <protection hidden="1"/>
    </xf>
    <xf numFmtId="0" fontId="7" fillId="0" borderId="0" xfId="0" applyFont="1" applyBorder="1"/>
    <xf numFmtId="0" fontId="30" fillId="7" borderId="2" xfId="0" applyFont="1" applyFill="1" applyBorder="1" applyAlignment="1">
      <alignment horizontal="center"/>
    </xf>
    <xf numFmtId="0" fontId="29" fillId="8" borderId="2" xfId="0" applyFont="1" applyFill="1" applyBorder="1" applyAlignment="1">
      <alignment horizontal="center" vertical="center" wrapText="1"/>
    </xf>
    <xf numFmtId="0" fontId="31" fillId="7" borderId="2" xfId="0" applyFont="1" applyFill="1" applyBorder="1" applyAlignment="1">
      <alignment horizontal="center"/>
    </xf>
    <xf numFmtId="0" fontId="6" fillId="8" borderId="2" xfId="0" applyFont="1" applyFill="1" applyBorder="1" applyAlignment="1">
      <alignment horizontal="center"/>
    </xf>
    <xf numFmtId="43" fontId="7" fillId="0" borderId="0" xfId="1" applyFont="1"/>
    <xf numFmtId="0" fontId="31" fillId="0" borderId="0" xfId="0" applyFont="1" applyBorder="1" applyAlignment="1">
      <alignment horizontal="left"/>
    </xf>
    <xf numFmtId="0" fontId="31" fillId="0" borderId="0" xfId="0" applyFont="1" applyBorder="1" applyAlignment="1">
      <alignment horizontal="center"/>
    </xf>
    <xf numFmtId="43" fontId="31" fillId="0" borderId="0" xfId="0" applyNumberFormat="1" applyFont="1" applyBorder="1" applyAlignment="1">
      <alignment horizontal="left"/>
    </xf>
    <xf numFmtId="43" fontId="34" fillId="9" borderId="0" xfId="0" applyNumberFormat="1" applyFont="1" applyFill="1" applyBorder="1" applyAlignment="1">
      <alignment horizontal="center" vertical="center"/>
    </xf>
    <xf numFmtId="0" fontId="34" fillId="9" borderId="0" xfId="0" applyFont="1" applyFill="1" applyBorder="1" applyAlignment="1">
      <alignment horizontal="center" vertical="center" wrapText="1"/>
    </xf>
    <xf numFmtId="0" fontId="34" fillId="9" borderId="31" xfId="0" applyFont="1" applyFill="1" applyBorder="1" applyAlignment="1">
      <alignment horizontal="right"/>
    </xf>
    <xf numFmtId="0" fontId="6" fillId="8" borderId="12" xfId="0" applyFont="1" applyFill="1" applyBorder="1" applyAlignment="1">
      <alignment horizontal="center" vertical="center"/>
    </xf>
    <xf numFmtId="0" fontId="37" fillId="2" borderId="0" xfId="0" applyFont="1" applyFill="1" applyBorder="1" applyAlignment="1">
      <alignment horizontal="center" vertical="center"/>
    </xf>
    <xf numFmtId="43" fontId="37" fillId="2" borderId="0" xfId="0" applyNumberFormat="1" applyFont="1" applyFill="1" applyBorder="1" applyAlignment="1">
      <alignment horizontal="center" vertical="center"/>
    </xf>
    <xf numFmtId="0" fontId="37" fillId="2" borderId="38" xfId="0" applyFont="1" applyFill="1" applyBorder="1" applyAlignment="1">
      <alignment horizontal="center" vertical="center"/>
    </xf>
    <xf numFmtId="0" fontId="37" fillId="2" borderId="39" xfId="0" applyFont="1" applyFill="1" applyBorder="1" applyAlignment="1">
      <alignment horizontal="center" vertical="center"/>
    </xf>
    <xf numFmtId="43" fontId="31" fillId="0" borderId="1" xfId="1" applyFont="1" applyBorder="1" applyAlignment="1">
      <alignment horizontal="center"/>
    </xf>
    <xf numFmtId="0" fontId="31" fillId="0" borderId="17" xfId="0" applyFont="1" applyBorder="1" applyAlignment="1">
      <alignment horizontal="left"/>
    </xf>
    <xf numFmtId="43" fontId="31" fillId="0" borderId="17" xfId="0" applyNumberFormat="1" applyFont="1" applyBorder="1" applyAlignment="1">
      <alignment horizontal="left"/>
    </xf>
    <xf numFmtId="0" fontId="31" fillId="0" borderId="17" xfId="0" applyFont="1" applyBorder="1" applyAlignment="1">
      <alignment horizontal="center"/>
    </xf>
    <xf numFmtId="165" fontId="37" fillId="2" borderId="4" xfId="0" applyNumberFormat="1" applyFont="1" applyFill="1" applyBorder="1" applyAlignment="1">
      <alignment horizontal="center" vertical="center"/>
    </xf>
    <xf numFmtId="165" fontId="37" fillId="2" borderId="6" xfId="0" applyNumberFormat="1" applyFont="1" applyFill="1" applyBorder="1" applyAlignment="1">
      <alignment horizontal="center" vertical="center"/>
    </xf>
    <xf numFmtId="0" fontId="37" fillId="2" borderId="48" xfId="0" applyFont="1" applyFill="1" applyBorder="1" applyAlignment="1">
      <alignment horizontal="center" vertical="center"/>
    </xf>
    <xf numFmtId="165" fontId="37" fillId="2" borderId="49" xfId="0" applyNumberFormat="1" applyFont="1" applyFill="1" applyBorder="1" applyAlignment="1">
      <alignment horizontal="center" vertical="center"/>
    </xf>
    <xf numFmtId="165" fontId="37" fillId="2" borderId="2" xfId="0" applyNumberFormat="1" applyFont="1" applyFill="1" applyBorder="1" applyAlignment="1">
      <alignment horizontal="center" vertical="center"/>
    </xf>
    <xf numFmtId="0" fontId="37" fillId="10" borderId="13" xfId="0" applyFont="1" applyFill="1" applyBorder="1" applyAlignment="1">
      <alignment horizontal="center" vertical="center"/>
    </xf>
    <xf numFmtId="0" fontId="37" fillId="10" borderId="0" xfId="0" applyFont="1" applyFill="1" applyBorder="1" applyAlignment="1">
      <alignment horizontal="center" vertical="center"/>
    </xf>
    <xf numFmtId="0" fontId="37" fillId="10" borderId="0" xfId="0" applyFont="1" applyFill="1" applyBorder="1" applyAlignment="1">
      <alignment horizontal="left" vertical="center"/>
    </xf>
    <xf numFmtId="0" fontId="37" fillId="10" borderId="1" xfId="0" applyFont="1" applyFill="1" applyBorder="1" applyAlignment="1">
      <alignment horizontal="center" vertical="center"/>
    </xf>
    <xf numFmtId="0" fontId="37" fillId="10" borderId="17" xfId="0" applyFont="1" applyFill="1" applyBorder="1" applyAlignment="1">
      <alignment horizontal="center" vertical="center"/>
    </xf>
    <xf numFmtId="0" fontId="37" fillId="10" borderId="22" xfId="0" applyFont="1" applyFill="1" applyBorder="1" applyAlignment="1">
      <alignment horizontal="center" vertical="center"/>
    </xf>
    <xf numFmtId="0" fontId="7" fillId="10" borderId="0" xfId="0" applyFont="1" applyFill="1"/>
    <xf numFmtId="0" fontId="37" fillId="10" borderId="21" xfId="0" applyFont="1" applyFill="1" applyBorder="1" applyAlignment="1">
      <alignment horizontal="center" vertical="center"/>
    </xf>
    <xf numFmtId="43" fontId="37" fillId="10" borderId="17" xfId="0" applyNumberFormat="1" applyFont="1" applyFill="1" applyBorder="1" applyAlignment="1">
      <alignment horizontal="center" vertical="center"/>
    </xf>
    <xf numFmtId="0" fontId="4" fillId="7" borderId="12" xfId="0" applyNumberFormat="1" applyFont="1" applyFill="1" applyBorder="1" applyAlignment="1">
      <alignment horizontal="center" wrapText="1"/>
    </xf>
    <xf numFmtId="0" fontId="4" fillId="11" borderId="2" xfId="0" applyFont="1" applyFill="1" applyBorder="1" applyAlignment="1">
      <alignment horizontal="left" wrapText="1"/>
    </xf>
    <xf numFmtId="0" fontId="4" fillId="11" borderId="2" xfId="0" applyFont="1" applyFill="1" applyBorder="1" applyAlignment="1">
      <alignment horizontal="center" wrapText="1"/>
    </xf>
    <xf numFmtId="165" fontId="41" fillId="7" borderId="16" xfId="1" applyNumberFormat="1" applyFont="1" applyFill="1" applyBorder="1" applyAlignment="1" applyProtection="1">
      <alignment horizontal="right" vertical="center" wrapText="1"/>
      <protection hidden="1"/>
    </xf>
    <xf numFmtId="0" fontId="33" fillId="9" borderId="3" xfId="0" applyFont="1" applyFill="1" applyBorder="1" applyAlignment="1">
      <alignment vertical="center"/>
    </xf>
    <xf numFmtId="0" fontId="33" fillId="9" borderId="43" xfId="0" applyFont="1" applyFill="1" applyBorder="1" applyAlignment="1">
      <alignment vertical="center" wrapText="1"/>
    </xf>
    <xf numFmtId="0" fontId="37" fillId="10" borderId="0" xfId="0" applyFont="1" applyFill="1" applyBorder="1" applyAlignment="1">
      <alignment vertical="center"/>
    </xf>
    <xf numFmtId="0" fontId="37" fillId="10" borderId="7" xfId="0" applyFont="1" applyFill="1" applyBorder="1" applyAlignment="1">
      <alignment vertical="center"/>
    </xf>
    <xf numFmtId="0" fontId="37" fillId="10" borderId="17" xfId="0" applyFont="1" applyFill="1" applyBorder="1" applyAlignment="1">
      <alignment vertical="center"/>
    </xf>
    <xf numFmtId="0" fontId="37" fillId="10" borderId="25" xfId="0" applyFont="1" applyFill="1" applyBorder="1" applyAlignment="1">
      <alignment vertical="center"/>
    </xf>
    <xf numFmtId="9" fontId="34" fillId="3" borderId="0" xfId="1" applyNumberFormat="1" applyFont="1" applyFill="1" applyBorder="1" applyAlignment="1">
      <alignment horizontal="center" vertical="center" wrapText="1"/>
    </xf>
    <xf numFmtId="43" fontId="6" fillId="3" borderId="0" xfId="1" applyFont="1" applyFill="1" applyBorder="1"/>
    <xf numFmtId="43" fontId="6" fillId="3" borderId="0" xfId="1" applyFont="1" applyFill="1" applyBorder="1" applyAlignment="1">
      <alignment horizontal="center"/>
    </xf>
    <xf numFmtId="0" fontId="21" fillId="8" borderId="30" xfId="0" applyFont="1" applyFill="1" applyBorder="1" applyAlignment="1">
      <alignment horizontal="left" vertical="center"/>
    </xf>
    <xf numFmtId="0" fontId="21" fillId="8" borderId="30" xfId="0" applyFont="1" applyFill="1" applyBorder="1" applyAlignment="1">
      <alignment horizontal="left"/>
    </xf>
    <xf numFmtId="0" fontId="21" fillId="8" borderId="47" xfId="0" applyFont="1" applyFill="1" applyBorder="1" applyAlignment="1">
      <alignment horizontal="left"/>
    </xf>
    <xf numFmtId="0" fontId="33" fillId="8" borderId="50" xfId="0" applyFont="1" applyFill="1" applyBorder="1" applyAlignment="1">
      <alignment horizontal="center" vertical="center"/>
    </xf>
    <xf numFmtId="0" fontId="33" fillId="8" borderId="13" xfId="0" applyFont="1" applyFill="1" applyBorder="1" applyAlignment="1">
      <alignment horizontal="center" vertical="center" wrapText="1"/>
    </xf>
    <xf numFmtId="0" fontId="21" fillId="8" borderId="13" xfId="0" applyFont="1" applyFill="1" applyBorder="1" applyAlignment="1">
      <alignment horizontal="left" vertical="center"/>
    </xf>
    <xf numFmtId="0" fontId="21" fillId="8" borderId="45" xfId="0" applyFont="1" applyFill="1" applyBorder="1" applyAlignment="1">
      <alignment horizontal="left"/>
    </xf>
    <xf numFmtId="0" fontId="21" fillId="8" borderId="46" xfId="0" applyFont="1" applyFill="1" applyBorder="1" applyAlignment="1">
      <alignment horizontal="left"/>
    </xf>
    <xf numFmtId="0" fontId="34" fillId="9" borderId="51" xfId="0" applyFont="1" applyFill="1" applyBorder="1" applyAlignment="1">
      <alignment horizontal="right"/>
    </xf>
    <xf numFmtId="0" fontId="31" fillId="0" borderId="28" xfId="0" applyFont="1" applyBorder="1" applyAlignment="1">
      <alignment horizontal="left"/>
    </xf>
    <xf numFmtId="0" fontId="31" fillId="0" borderId="52" xfId="0" applyFont="1" applyBorder="1" applyAlignment="1">
      <alignment horizontal="left"/>
    </xf>
    <xf numFmtId="0" fontId="36" fillId="12" borderId="42" xfId="0" applyFont="1" applyFill="1" applyBorder="1" applyAlignment="1">
      <alignment vertical="center"/>
    </xf>
    <xf numFmtId="0" fontId="44" fillId="12" borderId="35" xfId="0" applyFont="1" applyFill="1" applyBorder="1" applyAlignment="1">
      <alignment vertical="center"/>
    </xf>
    <xf numFmtId="0" fontId="44" fillId="12" borderId="35" xfId="0" quotePrefix="1" applyFont="1" applyFill="1" applyBorder="1" applyAlignment="1">
      <alignment horizontal="center" vertical="center"/>
    </xf>
    <xf numFmtId="0" fontId="43" fillId="12" borderId="35" xfId="0" applyFont="1" applyFill="1" applyBorder="1" applyAlignment="1">
      <alignment vertical="center"/>
    </xf>
    <xf numFmtId="0" fontId="43" fillId="12" borderId="36" xfId="0" applyFont="1" applyFill="1" applyBorder="1" applyAlignment="1">
      <alignment vertical="center"/>
    </xf>
    <xf numFmtId="0" fontId="44" fillId="12" borderId="35" xfId="0" quotePrefix="1" applyFont="1" applyFill="1" applyBorder="1" applyAlignment="1">
      <alignment horizontal="left" vertical="center"/>
    </xf>
    <xf numFmtId="0" fontId="21" fillId="8" borderId="30" xfId="0" applyFont="1" applyFill="1" applyBorder="1"/>
    <xf numFmtId="0" fontId="21" fillId="8" borderId="45" xfId="0" applyFont="1" applyFill="1" applyBorder="1"/>
    <xf numFmtId="0" fontId="31" fillId="0" borderId="2" xfId="0" applyFont="1" applyBorder="1"/>
    <xf numFmtId="0" fontId="6" fillId="3" borderId="2" xfId="0" applyFont="1" applyFill="1" applyBorder="1"/>
    <xf numFmtId="0" fontId="45" fillId="0" borderId="0" xfId="0" applyFont="1" applyBorder="1" applyProtection="1"/>
    <xf numFmtId="0" fontId="46" fillId="2" borderId="0" xfId="0" applyFont="1" applyFill="1" applyBorder="1" applyAlignment="1">
      <alignment horizontal="left" vertical="center" wrapText="1"/>
    </xf>
    <xf numFmtId="0" fontId="45" fillId="0" borderId="0" xfId="0" applyFont="1" applyBorder="1"/>
    <xf numFmtId="0" fontId="46" fillId="0" borderId="0" xfId="0" applyFont="1" applyBorder="1" applyAlignment="1">
      <alignment horizontal="left" vertical="center" wrapText="1"/>
    </xf>
    <xf numFmtId="0" fontId="6" fillId="2" borderId="0" xfId="0" applyFont="1" applyFill="1" applyBorder="1"/>
    <xf numFmtId="0" fontId="31" fillId="2" borderId="0" xfId="0" applyFont="1" applyFill="1" applyBorder="1"/>
    <xf numFmtId="0" fontId="22" fillId="13" borderId="2" xfId="0" applyFont="1" applyFill="1" applyBorder="1"/>
    <xf numFmtId="0" fontId="42" fillId="9" borderId="33" xfId="0" applyFont="1" applyFill="1" applyBorder="1" applyAlignment="1">
      <alignment horizontal="center" vertical="center" wrapText="1"/>
    </xf>
    <xf numFmtId="0" fontId="31" fillId="0" borderId="0" xfId="0" applyFont="1"/>
    <xf numFmtId="0" fontId="2" fillId="3" borderId="0" xfId="0" applyFont="1" applyFill="1" applyBorder="1" applyAlignment="1" applyProtection="1">
      <alignment horizontal="center" vertical="center" wrapText="1"/>
    </xf>
    <xf numFmtId="0" fontId="4" fillId="11" borderId="57" xfId="0" applyFont="1" applyFill="1" applyBorder="1" applyAlignment="1">
      <alignment horizontal="center" wrapText="1"/>
    </xf>
    <xf numFmtId="9" fontId="49" fillId="3" borderId="56" xfId="0" applyNumberFormat="1" applyFont="1" applyFill="1" applyBorder="1" applyAlignment="1">
      <alignment horizontal="center" vertical="center" wrapText="1"/>
    </xf>
    <xf numFmtId="0" fontId="23" fillId="0" borderId="0" xfId="0" applyFont="1" applyProtection="1">
      <protection hidden="1"/>
    </xf>
    <xf numFmtId="0" fontId="23" fillId="0" borderId="1" xfId="0" applyFont="1" applyBorder="1" applyProtection="1"/>
    <xf numFmtId="0" fontId="32" fillId="2" borderId="20" xfId="0" applyFont="1" applyFill="1" applyBorder="1" applyAlignment="1" applyProtection="1">
      <alignment horizontal="right" vertical="center"/>
    </xf>
    <xf numFmtId="0" fontId="32" fillId="2" borderId="7" xfId="0" applyFont="1" applyFill="1" applyBorder="1" applyAlignment="1" applyProtection="1">
      <alignment horizontal="right" vertical="center"/>
    </xf>
    <xf numFmtId="0" fontId="32" fillId="2" borderId="8" xfId="0" applyFont="1" applyFill="1" applyBorder="1" applyAlignment="1" applyProtection="1">
      <alignment horizontal="right" vertical="center"/>
    </xf>
    <xf numFmtId="0" fontId="0" fillId="2" borderId="13" xfId="0" applyFill="1" applyBorder="1"/>
    <xf numFmtId="0" fontId="23" fillId="2" borderId="0" xfId="0" applyFont="1" applyFill="1" applyBorder="1" applyProtection="1"/>
    <xf numFmtId="9" fontId="34" fillId="3" borderId="59" xfId="1" applyNumberFormat="1" applyFont="1" applyFill="1" applyBorder="1" applyAlignment="1">
      <alignment horizontal="center" vertical="center" wrapText="1"/>
    </xf>
    <xf numFmtId="43" fontId="6" fillId="3" borderId="59" xfId="1" applyFont="1" applyFill="1" applyBorder="1"/>
    <xf numFmtId="43" fontId="31" fillId="0" borderId="0" xfId="1" applyFont="1" applyBorder="1"/>
    <xf numFmtId="43" fontId="31" fillId="0" borderId="17" xfId="1" applyFont="1" applyBorder="1"/>
    <xf numFmtId="0" fontId="2" fillId="3" borderId="60" xfId="0" applyFont="1" applyFill="1" applyBorder="1" applyAlignment="1" applyProtection="1">
      <alignment vertical="center"/>
    </xf>
    <xf numFmtId="0" fontId="2" fillId="3" borderId="61" xfId="0" applyFont="1" applyFill="1" applyBorder="1" applyAlignment="1" applyProtection="1">
      <alignment vertical="center" wrapText="1"/>
    </xf>
    <xf numFmtId="0" fontId="2" fillId="3" borderId="55" xfId="0" applyFont="1" applyFill="1" applyBorder="1" applyAlignment="1" applyProtection="1">
      <alignment horizontal="center" vertical="center" wrapText="1"/>
    </xf>
    <xf numFmtId="0" fontId="2" fillId="3" borderId="54" xfId="0" applyFont="1" applyFill="1" applyBorder="1" applyAlignment="1" applyProtection="1">
      <alignment horizontal="center" vertical="center" wrapText="1"/>
    </xf>
    <xf numFmtId="0" fontId="2" fillId="3" borderId="62" xfId="0" applyFont="1" applyFill="1" applyBorder="1" applyAlignment="1" applyProtection="1">
      <alignment vertical="center" wrapText="1"/>
    </xf>
    <xf numFmtId="0" fontId="2" fillId="3" borderId="0" xfId="0" applyFont="1" applyFill="1" applyBorder="1" applyAlignment="1" applyProtection="1">
      <alignment vertical="center" wrapText="1"/>
    </xf>
    <xf numFmtId="0" fontId="47" fillId="11" borderId="57" xfId="0" applyFont="1" applyFill="1" applyBorder="1" applyAlignment="1">
      <alignment horizontal="center" wrapText="1"/>
    </xf>
    <xf numFmtId="0" fontId="6" fillId="8" borderId="64" xfId="0" applyNumberFormat="1" applyFont="1" applyFill="1" applyBorder="1" applyAlignment="1" applyProtection="1">
      <alignment horizontal="center" vertical="center" wrapText="1"/>
    </xf>
    <xf numFmtId="0" fontId="6" fillId="3" borderId="65" xfId="0" applyFont="1" applyFill="1" applyBorder="1" applyAlignment="1" applyProtection="1">
      <alignment horizontal="center" vertical="center" wrapText="1"/>
    </xf>
    <xf numFmtId="0" fontId="6" fillId="3" borderId="65" xfId="0" applyFont="1" applyFill="1" applyBorder="1" applyAlignment="1">
      <alignment horizontal="center" vertical="center"/>
    </xf>
    <xf numFmtId="0" fontId="6" fillId="3" borderId="65" xfId="0" applyFont="1" applyFill="1" applyBorder="1" applyAlignment="1">
      <alignment horizontal="center" vertical="center" wrapText="1"/>
    </xf>
    <xf numFmtId="0" fontId="6" fillId="3" borderId="63" xfId="0" applyFont="1" applyFill="1" applyBorder="1" applyAlignment="1">
      <alignment horizontal="center" vertical="center" wrapText="1"/>
    </xf>
    <xf numFmtId="0" fontId="9" fillId="2" borderId="0" xfId="0" applyNumberFormat="1" applyFont="1" applyFill="1" applyBorder="1" applyAlignment="1" applyProtection="1">
      <alignment horizontal="left" wrapText="1"/>
      <protection hidden="1"/>
    </xf>
    <xf numFmtId="0" fontId="50" fillId="0" borderId="0" xfId="0" applyFont="1" applyProtection="1">
      <protection hidden="1"/>
    </xf>
    <xf numFmtId="0" fontId="23" fillId="2" borderId="0" xfId="0" applyFont="1" applyFill="1" applyBorder="1" applyProtection="1">
      <protection hidden="1"/>
    </xf>
    <xf numFmtId="0" fontId="27" fillId="0" borderId="0" xfId="0" applyFont="1" applyProtection="1">
      <protection hidden="1"/>
    </xf>
    <xf numFmtId="43" fontId="31" fillId="0" borderId="22" xfId="1" applyFont="1" applyBorder="1" applyAlignment="1">
      <alignment horizontal="center"/>
    </xf>
    <xf numFmtId="0" fontId="27" fillId="0" borderId="0" xfId="0" applyFont="1"/>
    <xf numFmtId="0" fontId="51" fillId="0" borderId="9" xfId="0" applyFont="1" applyBorder="1"/>
    <xf numFmtId="43" fontId="12" fillId="0" borderId="66" xfId="1" applyFont="1" applyFill="1" applyBorder="1" applyAlignment="1" applyProtection="1">
      <alignment horizontal="center" vertical="center" wrapText="1"/>
      <protection hidden="1"/>
    </xf>
    <xf numFmtId="167" fontId="7" fillId="0" borderId="5" xfId="1" applyNumberFormat="1" applyFont="1" applyBorder="1" applyAlignment="1" applyProtection="1">
      <alignment horizontal="center"/>
      <protection locked="0"/>
    </xf>
    <xf numFmtId="0" fontId="34" fillId="10" borderId="7" xfId="0" applyFont="1" applyFill="1" applyBorder="1" applyAlignment="1">
      <alignment horizontal="center" vertical="center" wrapText="1"/>
    </xf>
    <xf numFmtId="0" fontId="34" fillId="10" borderId="7" xfId="0" applyFont="1" applyFill="1" applyBorder="1" applyAlignment="1">
      <alignment horizontal="center" vertical="center"/>
    </xf>
    <xf numFmtId="0" fontId="34" fillId="10" borderId="0" xfId="0" applyFont="1" applyFill="1" applyBorder="1" applyAlignment="1">
      <alignment horizontal="center" vertical="center" wrapText="1"/>
    </xf>
    <xf numFmtId="0" fontId="34" fillId="10" borderId="0" xfId="0" applyFont="1" applyFill="1" applyBorder="1" applyAlignment="1">
      <alignment horizontal="center" vertical="center"/>
    </xf>
    <xf numFmtId="0" fontId="37" fillId="2" borderId="11" xfId="0" applyFont="1" applyFill="1" applyBorder="1" applyAlignment="1">
      <alignment vertical="center"/>
    </xf>
    <xf numFmtId="167" fontId="31" fillId="0" borderId="0" xfId="0" applyNumberFormat="1" applyFont="1" applyBorder="1" applyAlignment="1">
      <alignment horizontal="center"/>
    </xf>
    <xf numFmtId="167" fontId="31" fillId="0" borderId="17" xfId="0" applyNumberFormat="1" applyFont="1" applyBorder="1" applyAlignment="1">
      <alignment horizontal="center"/>
    </xf>
    <xf numFmtId="43" fontId="34" fillId="9" borderId="68" xfId="0" applyNumberFormat="1" applyFont="1" applyFill="1" applyBorder="1" applyAlignment="1">
      <alignment horizontal="center" vertical="center"/>
    </xf>
    <xf numFmtId="43" fontId="34" fillId="9" borderId="69" xfId="0" applyNumberFormat="1" applyFont="1" applyFill="1" applyBorder="1" applyAlignment="1">
      <alignment horizontal="center" vertical="center"/>
    </xf>
    <xf numFmtId="43" fontId="34" fillId="9" borderId="67" xfId="0" applyNumberFormat="1" applyFont="1" applyFill="1" applyBorder="1" applyAlignment="1">
      <alignment horizontal="center" vertical="center"/>
    </xf>
    <xf numFmtId="0" fontId="34" fillId="10" borderId="28" xfId="0" applyFont="1" applyFill="1" applyBorder="1" applyAlignment="1">
      <alignment horizontal="center" vertical="center" wrapText="1"/>
    </xf>
    <xf numFmtId="9" fontId="34" fillId="10" borderId="1" xfId="1" applyNumberFormat="1" applyFont="1" applyFill="1" applyBorder="1" applyAlignment="1">
      <alignment horizontal="center" vertical="center"/>
    </xf>
    <xf numFmtId="43" fontId="34" fillId="9" borderId="70" xfId="0" applyNumberFormat="1" applyFont="1" applyFill="1" applyBorder="1" applyAlignment="1">
      <alignment horizontal="center" vertical="center"/>
    </xf>
    <xf numFmtId="0" fontId="34" fillId="9" borderId="68" xfId="0" applyFont="1" applyFill="1" applyBorder="1" applyAlignment="1">
      <alignment horizontal="center" vertical="center" wrapText="1"/>
    </xf>
    <xf numFmtId="43" fontId="34" fillId="9" borderId="67" xfId="1" applyNumberFormat="1" applyFont="1" applyFill="1" applyBorder="1" applyAlignment="1">
      <alignment horizontal="center" vertical="center"/>
    </xf>
    <xf numFmtId="167" fontId="52" fillId="9" borderId="68" xfId="0" applyNumberFormat="1" applyFont="1" applyFill="1" applyBorder="1" applyAlignment="1">
      <alignment horizontal="center" vertical="center" wrapText="1"/>
    </xf>
    <xf numFmtId="0" fontId="22" fillId="8" borderId="2" xfId="0" applyFont="1" applyFill="1" applyBorder="1" applyAlignment="1">
      <alignment vertical="center" wrapText="1"/>
    </xf>
    <xf numFmtId="0" fontId="0" fillId="2" borderId="0" xfId="0" applyFill="1" applyAlignment="1"/>
    <xf numFmtId="0" fontId="0" fillId="2" borderId="1" xfId="0" applyFill="1" applyBorder="1" applyAlignment="1"/>
    <xf numFmtId="0" fontId="53" fillId="2" borderId="0" xfId="0" applyFont="1" applyFill="1" applyAlignment="1">
      <alignment horizontal="center"/>
    </xf>
    <xf numFmtId="0" fontId="17" fillId="9" borderId="18" xfId="0" applyFont="1" applyFill="1" applyBorder="1" applyAlignment="1" applyProtection="1">
      <alignment horizontal="center" vertical="center"/>
    </xf>
    <xf numFmtId="4" fontId="17" fillId="9" borderId="18" xfId="0" applyNumberFormat="1" applyFont="1" applyFill="1" applyBorder="1" applyAlignment="1" applyProtection="1">
      <alignment horizontal="center" vertical="center"/>
    </xf>
    <xf numFmtId="3" fontId="3" fillId="14" borderId="0" xfId="0" quotePrefix="1" applyNumberFormat="1" applyFont="1" applyFill="1" applyBorder="1" applyAlignment="1" applyProtection="1">
      <alignment horizontal="center" vertical="center" wrapText="1"/>
      <protection locked="0"/>
    </xf>
    <xf numFmtId="0" fontId="17" fillId="9" borderId="19" xfId="0" applyFont="1" applyFill="1" applyBorder="1" applyAlignment="1" applyProtection="1">
      <alignment vertical="center"/>
    </xf>
    <xf numFmtId="0" fontId="17" fillId="9" borderId="25" xfId="0" applyFont="1" applyFill="1" applyBorder="1" applyAlignment="1" applyProtection="1">
      <alignment vertical="center"/>
    </xf>
    <xf numFmtId="43" fontId="17" fillId="9" borderId="19" xfId="1" applyFont="1" applyFill="1" applyBorder="1" applyAlignment="1" applyProtection="1">
      <alignment vertical="center"/>
      <protection hidden="1"/>
    </xf>
    <xf numFmtId="0" fontId="14" fillId="9" borderId="19" xfId="0" applyFont="1" applyFill="1" applyBorder="1" applyAlignment="1" applyProtection="1">
      <alignment vertical="center"/>
    </xf>
    <xf numFmtId="0" fontId="17" fillId="9" borderId="27" xfId="0" applyFont="1" applyFill="1" applyBorder="1" applyAlignment="1" applyProtection="1">
      <alignment vertical="center"/>
    </xf>
    <xf numFmtId="0" fontId="14" fillId="9" borderId="25" xfId="0" applyFont="1" applyFill="1" applyBorder="1" applyAlignment="1" applyProtection="1">
      <alignment vertical="center"/>
    </xf>
    <xf numFmtId="43" fontId="40" fillId="9" borderId="19" xfId="1" applyFont="1" applyFill="1" applyBorder="1" applyAlignment="1" applyProtection="1">
      <alignment vertical="center"/>
      <protection hidden="1"/>
    </xf>
    <xf numFmtId="0" fontId="59" fillId="2" borderId="0" xfId="0" applyFont="1" applyFill="1" applyBorder="1" applyAlignment="1" applyProtection="1">
      <alignment horizontal="right"/>
      <protection hidden="1"/>
    </xf>
    <xf numFmtId="0" fontId="37" fillId="2" borderId="71" xfId="0" applyFont="1" applyFill="1" applyBorder="1" applyAlignment="1">
      <alignment horizontal="center" vertical="center"/>
    </xf>
    <xf numFmtId="165" fontId="37" fillId="2" borderId="72" xfId="0" applyNumberFormat="1" applyFont="1" applyFill="1" applyBorder="1" applyAlignment="1">
      <alignment horizontal="center" vertical="center"/>
    </xf>
    <xf numFmtId="0" fontId="0" fillId="0" borderId="0" xfId="0" applyAlignment="1">
      <alignment horizontal="center" wrapText="1"/>
    </xf>
    <xf numFmtId="0" fontId="47" fillId="11" borderId="57" xfId="0" applyFont="1" applyFill="1" applyBorder="1" applyAlignment="1">
      <alignment horizontal="left"/>
    </xf>
    <xf numFmtId="43" fontId="37" fillId="10" borderId="0" xfId="0" applyNumberFormat="1" applyFont="1" applyFill="1" applyBorder="1" applyAlignment="1">
      <alignment vertical="center"/>
    </xf>
    <xf numFmtId="0" fontId="64" fillId="2" borderId="0" xfId="0" applyFont="1" applyFill="1"/>
    <xf numFmtId="0" fontId="65" fillId="2" borderId="0" xfId="0" applyFont="1" applyFill="1" applyBorder="1" applyAlignment="1" applyProtection="1">
      <alignment horizontal="right" vertical="center"/>
      <protection hidden="1"/>
    </xf>
    <xf numFmtId="0" fontId="63" fillId="2" borderId="0" xfId="0" applyFont="1" applyFill="1" applyBorder="1" applyAlignment="1" applyProtection="1">
      <alignment horizontal="right"/>
      <protection hidden="1"/>
    </xf>
    <xf numFmtId="0" fontId="53" fillId="2" borderId="0" xfId="0" applyFont="1" applyFill="1" applyBorder="1" applyProtection="1">
      <protection hidden="1"/>
    </xf>
    <xf numFmtId="0" fontId="68" fillId="16" borderId="38" xfId="0" applyFont="1" applyFill="1" applyBorder="1" applyAlignment="1">
      <alignment horizontal="center"/>
    </xf>
    <xf numFmtId="0" fontId="68" fillId="16" borderId="5" xfId="0" applyFont="1" applyFill="1" applyBorder="1" applyAlignment="1">
      <alignment horizontal="center"/>
    </xf>
    <xf numFmtId="0" fontId="68" fillId="16" borderId="6" xfId="0" applyFont="1" applyFill="1" applyBorder="1"/>
    <xf numFmtId="14" fontId="69" fillId="0" borderId="38" xfId="0" applyNumberFormat="1" applyFont="1" applyBorder="1" applyAlignment="1">
      <alignment horizontal="center"/>
    </xf>
    <xf numFmtId="0" fontId="69" fillId="0" borderId="5" xfId="0" applyFont="1" applyBorder="1" applyAlignment="1">
      <alignment horizontal="center"/>
    </xf>
    <xf numFmtId="0" fontId="69" fillId="0" borderId="6" xfId="0" applyFont="1" applyBorder="1"/>
    <xf numFmtId="0" fontId="0" fillId="0" borderId="38" xfId="0" applyBorder="1" applyAlignment="1">
      <alignment horizontal="center"/>
    </xf>
    <xf numFmtId="0" fontId="0" fillId="0" borderId="5" xfId="0" applyBorder="1" applyAlignment="1">
      <alignment horizontal="center"/>
    </xf>
    <xf numFmtId="0" fontId="0" fillId="0" borderId="6" xfId="0" applyBorder="1"/>
    <xf numFmtId="0" fontId="0" fillId="0" borderId="0" xfId="0" applyBorder="1" applyAlignment="1">
      <alignment horizontal="center"/>
    </xf>
    <xf numFmtId="0" fontId="27" fillId="2" borderId="0" xfId="0" applyFont="1" applyFill="1"/>
    <xf numFmtId="0" fontId="5" fillId="5" borderId="0" xfId="0" applyFont="1" applyFill="1" applyBorder="1" applyAlignment="1" applyProtection="1">
      <alignment horizontal="center" vertical="center" wrapText="1"/>
      <protection hidden="1"/>
    </xf>
    <xf numFmtId="0" fontId="8" fillId="4" borderId="0" xfId="0" applyFont="1" applyFill="1" applyBorder="1" applyAlignment="1" applyProtection="1">
      <alignment horizontal="center" vertical="center" wrapText="1"/>
      <protection hidden="1"/>
    </xf>
    <xf numFmtId="0" fontId="10" fillId="9" borderId="14" xfId="0" applyFont="1" applyFill="1" applyBorder="1" applyAlignment="1" applyProtection="1">
      <alignment horizontal="center" vertical="center" wrapText="1"/>
      <protection hidden="1"/>
    </xf>
    <xf numFmtId="0" fontId="10" fillId="9" borderId="15" xfId="0" applyFont="1" applyFill="1" applyBorder="1" applyAlignment="1" applyProtection="1">
      <alignment horizontal="center" vertical="center" wrapText="1"/>
      <protection hidden="1"/>
    </xf>
    <xf numFmtId="0" fontId="10" fillId="9" borderId="66" xfId="0" applyFont="1" applyFill="1" applyBorder="1" applyAlignment="1" applyProtection="1">
      <alignment horizontal="center" vertical="center" wrapText="1"/>
      <protection hidden="1"/>
    </xf>
    <xf numFmtId="0" fontId="10" fillId="9" borderId="16" xfId="0" applyFont="1" applyFill="1" applyBorder="1" applyAlignment="1" applyProtection="1">
      <alignment horizontal="center" vertical="center" wrapText="1"/>
      <protection hidden="1"/>
    </xf>
    <xf numFmtId="43" fontId="12" fillId="0" borderId="14" xfId="1" applyFont="1" applyFill="1" applyBorder="1" applyAlignment="1" applyProtection="1">
      <alignment horizontal="center" vertical="center" wrapText="1"/>
      <protection hidden="1"/>
    </xf>
    <xf numFmtId="43" fontId="12" fillId="0" borderId="15" xfId="1" applyFont="1" applyFill="1" applyBorder="1" applyAlignment="1" applyProtection="1">
      <alignment horizontal="center" vertical="center" wrapText="1"/>
      <protection hidden="1"/>
    </xf>
    <xf numFmtId="0" fontId="54" fillId="0" borderId="13" xfId="0" applyFont="1" applyBorder="1" applyAlignment="1" applyProtection="1">
      <alignment horizontal="center" vertical="center"/>
    </xf>
    <xf numFmtId="0" fontId="54" fillId="0" borderId="0" xfId="0" applyFont="1" applyBorder="1" applyAlignment="1" applyProtection="1">
      <alignment horizontal="center" vertical="center"/>
    </xf>
    <xf numFmtId="0" fontId="54" fillId="0" borderId="1" xfId="0" applyFont="1" applyBorder="1" applyAlignment="1" applyProtection="1">
      <alignment horizontal="center" vertical="center"/>
    </xf>
    <xf numFmtId="0" fontId="66" fillId="0" borderId="23" xfId="0" applyFont="1" applyBorder="1" applyAlignment="1" applyProtection="1">
      <alignment horizontal="center" vertical="center"/>
    </xf>
    <xf numFmtId="0" fontId="66" fillId="0" borderId="9" xfId="0" applyFont="1" applyBorder="1" applyAlignment="1" applyProtection="1">
      <alignment horizontal="center" vertical="center"/>
    </xf>
    <xf numFmtId="0" fontId="66" fillId="0" borderId="10" xfId="0" applyFont="1" applyBorder="1" applyAlignment="1" applyProtection="1">
      <alignment horizontal="center" vertical="center"/>
    </xf>
    <xf numFmtId="0" fontId="56" fillId="7" borderId="32" xfId="0" applyFont="1" applyFill="1" applyBorder="1" applyAlignment="1" applyProtection="1">
      <alignment horizontal="right" vertical="center"/>
    </xf>
    <xf numFmtId="0" fontId="48" fillId="9" borderId="11" xfId="0" applyFont="1" applyFill="1" applyBorder="1" applyAlignment="1" applyProtection="1">
      <alignment horizontal="center" vertical="center" wrapText="1"/>
    </xf>
    <xf numFmtId="0" fontId="48" fillId="9" borderId="25" xfId="0" applyFont="1" applyFill="1" applyBorder="1" applyAlignment="1" applyProtection="1">
      <alignment horizontal="center" vertical="center" wrapText="1"/>
    </xf>
    <xf numFmtId="0" fontId="55" fillId="0" borderId="13" xfId="0" applyFont="1" applyBorder="1" applyAlignment="1" applyProtection="1">
      <alignment horizontal="center"/>
    </xf>
    <xf numFmtId="0" fontId="55" fillId="0" borderId="0" xfId="0" applyFont="1" applyBorder="1" applyAlignment="1" applyProtection="1">
      <alignment horizontal="center"/>
    </xf>
    <xf numFmtId="0" fontId="55" fillId="0" borderId="1" xfId="0" applyFont="1" applyBorder="1" applyAlignment="1" applyProtection="1">
      <alignment horizontal="center"/>
    </xf>
    <xf numFmtId="0" fontId="10" fillId="14" borderId="25" xfId="0" applyFont="1" applyFill="1" applyBorder="1" applyAlignment="1" applyProtection="1">
      <alignment horizontal="center" vertical="center" wrapText="1"/>
      <protection locked="0" hidden="1"/>
    </xf>
    <xf numFmtId="0" fontId="10" fillId="14" borderId="12" xfId="0" applyFont="1" applyFill="1" applyBorder="1" applyAlignment="1" applyProtection="1">
      <alignment horizontal="center" vertical="center" wrapText="1"/>
      <protection locked="0" hidden="1"/>
    </xf>
    <xf numFmtId="0" fontId="7" fillId="0" borderId="24" xfId="0" applyFont="1" applyBorder="1" applyAlignment="1">
      <alignment horizontal="center" vertical="center" textRotation="90"/>
    </xf>
    <xf numFmtId="0" fontId="17" fillId="9" borderId="29" xfId="0" applyFont="1" applyFill="1" applyBorder="1" applyAlignment="1" applyProtection="1">
      <alignment horizontal="center" vertical="center"/>
    </xf>
    <xf numFmtId="0" fontId="17" fillId="9" borderId="18" xfId="0" applyFont="1" applyFill="1" applyBorder="1" applyAlignment="1" applyProtection="1">
      <alignment horizontal="center" vertical="center"/>
    </xf>
    <xf numFmtId="0" fontId="18" fillId="0" borderId="20" xfId="0" applyFont="1" applyBorder="1" applyAlignment="1" applyProtection="1">
      <alignment horizontal="left" vertical="center" wrapText="1"/>
      <protection locked="0"/>
    </xf>
    <xf numFmtId="0" fontId="18" fillId="0" borderId="7" xfId="0" applyFont="1" applyBorder="1" applyAlignment="1" applyProtection="1">
      <alignment horizontal="left" vertical="center" wrapText="1"/>
      <protection locked="0"/>
    </xf>
    <xf numFmtId="0" fontId="18" fillId="0" borderId="8" xfId="0" applyFont="1" applyBorder="1" applyAlignment="1" applyProtection="1">
      <alignment horizontal="left" vertical="center" wrapText="1"/>
      <protection locked="0"/>
    </xf>
    <xf numFmtId="0" fontId="18" fillId="0" borderId="13" xfId="0" applyFont="1" applyBorder="1" applyAlignment="1" applyProtection="1">
      <alignment horizontal="left" vertical="center" wrapText="1"/>
      <protection locked="0"/>
    </xf>
    <xf numFmtId="0" fontId="18" fillId="0" borderId="0" xfId="0" applyFont="1" applyBorder="1" applyAlignment="1" applyProtection="1">
      <alignment horizontal="left" vertical="center" wrapText="1"/>
      <protection locked="0"/>
    </xf>
    <xf numFmtId="0" fontId="18" fillId="0" borderId="1" xfId="0" applyFont="1" applyBorder="1" applyAlignment="1" applyProtection="1">
      <alignment horizontal="left" vertical="center" wrapText="1"/>
      <protection locked="0"/>
    </xf>
    <xf numFmtId="0" fontId="18" fillId="0" borderId="21" xfId="0" applyFont="1" applyBorder="1" applyAlignment="1" applyProtection="1">
      <alignment horizontal="left" vertical="center" wrapText="1"/>
      <protection locked="0"/>
    </xf>
    <xf numFmtId="0" fontId="18" fillId="0" borderId="17" xfId="0" applyFont="1" applyBorder="1" applyAlignment="1" applyProtection="1">
      <alignment horizontal="left" vertical="center" wrapText="1"/>
      <protection locked="0"/>
    </xf>
    <xf numFmtId="0" fontId="18" fillId="0" borderId="22" xfId="0" applyFont="1" applyBorder="1" applyAlignment="1" applyProtection="1">
      <alignment horizontal="left" vertical="center" wrapText="1"/>
      <protection locked="0"/>
    </xf>
    <xf numFmtId="0" fontId="29" fillId="9" borderId="2" xfId="0" applyFont="1" applyFill="1" applyBorder="1" applyAlignment="1" applyProtection="1">
      <alignment horizontal="center" vertical="center" wrapText="1"/>
    </xf>
    <xf numFmtId="0" fontId="34" fillId="10" borderId="7" xfId="0" applyFont="1" applyFill="1" applyBorder="1" applyAlignment="1">
      <alignment horizontal="center" vertical="center" wrapText="1"/>
    </xf>
    <xf numFmtId="0" fontId="34" fillId="10" borderId="9" xfId="0" applyFont="1" applyFill="1" applyBorder="1" applyAlignment="1">
      <alignment horizontal="center" vertical="center" wrapText="1"/>
    </xf>
    <xf numFmtId="0" fontId="37" fillId="15" borderId="13" xfId="0" applyFont="1" applyFill="1" applyBorder="1" applyAlignment="1">
      <alignment horizontal="right" vertical="center" wrapText="1"/>
    </xf>
    <xf numFmtId="0" fontId="37" fillId="15" borderId="0" xfId="0" applyFont="1" applyFill="1" applyBorder="1" applyAlignment="1">
      <alignment horizontal="right" vertical="center" wrapText="1"/>
    </xf>
    <xf numFmtId="0" fontId="34" fillId="10" borderId="7" xfId="0" applyFont="1" applyFill="1" applyBorder="1" applyAlignment="1">
      <alignment horizontal="center" vertical="center"/>
    </xf>
    <xf numFmtId="0" fontId="34" fillId="10" borderId="9" xfId="0" applyFont="1" applyFill="1" applyBorder="1" applyAlignment="1">
      <alignment horizontal="center" vertical="center"/>
    </xf>
    <xf numFmtId="0" fontId="34" fillId="10" borderId="27" xfId="0" applyFont="1" applyFill="1" applyBorder="1" applyAlignment="1">
      <alignment horizontal="center" vertical="center" wrapText="1"/>
    </xf>
    <xf numFmtId="0" fontId="34" fillId="10" borderId="12" xfId="0" applyFont="1" applyFill="1" applyBorder="1" applyAlignment="1">
      <alignment horizontal="center" vertical="center" wrapText="1"/>
    </xf>
    <xf numFmtId="0" fontId="35" fillId="3" borderId="11" xfId="0" applyFont="1" applyFill="1" applyBorder="1" applyAlignment="1">
      <alignment horizontal="center" vertical="center"/>
    </xf>
    <xf numFmtId="0" fontId="35" fillId="3" borderId="25" xfId="0" applyFont="1" applyFill="1" applyBorder="1" applyAlignment="1">
      <alignment horizontal="center" vertical="center"/>
    </xf>
    <xf numFmtId="0" fontId="35" fillId="3" borderId="12" xfId="0" applyFont="1" applyFill="1" applyBorder="1" applyAlignment="1">
      <alignment horizontal="center" vertical="center"/>
    </xf>
    <xf numFmtId="9" fontId="38" fillId="3" borderId="7" xfId="1" applyNumberFormat="1" applyFont="1" applyFill="1" applyBorder="1" applyAlignment="1">
      <alignment horizontal="center" vertical="center" wrapText="1"/>
    </xf>
    <xf numFmtId="9" fontId="38" fillId="3" borderId="58" xfId="1" applyNumberFormat="1" applyFont="1" applyFill="1" applyBorder="1" applyAlignment="1">
      <alignment horizontal="center" vertical="center" wrapText="1"/>
    </xf>
    <xf numFmtId="0" fontId="39" fillId="3" borderId="40" xfId="0" applyFont="1" applyFill="1" applyBorder="1" applyAlignment="1">
      <alignment horizontal="center" vertical="center"/>
    </xf>
    <xf numFmtId="0" fontId="39" fillId="3" borderId="41" xfId="0" applyFont="1" applyFill="1" applyBorder="1" applyAlignment="1">
      <alignment horizontal="center" vertical="center"/>
    </xf>
    <xf numFmtId="0" fontId="42" fillId="9" borderId="3" xfId="0" applyFont="1" applyFill="1" applyBorder="1" applyAlignment="1">
      <alignment horizontal="center" vertical="center"/>
    </xf>
    <xf numFmtId="0" fontId="42" fillId="9" borderId="33" xfId="0" applyFont="1" applyFill="1" applyBorder="1" applyAlignment="1">
      <alignment horizontal="center" vertical="center"/>
    </xf>
    <xf numFmtId="0" fontId="42" fillId="9" borderId="44" xfId="0" applyFont="1" applyFill="1" applyBorder="1" applyAlignment="1">
      <alignment horizontal="center" vertical="center"/>
    </xf>
    <xf numFmtId="0" fontId="42" fillId="9" borderId="43" xfId="0" applyFont="1" applyFill="1" applyBorder="1" applyAlignment="1">
      <alignment horizontal="center" vertical="center" wrapText="1"/>
    </xf>
    <xf numFmtId="0" fontId="42" fillId="9" borderId="33" xfId="0" applyFont="1" applyFill="1" applyBorder="1" applyAlignment="1">
      <alignment horizontal="center" vertical="center" wrapText="1"/>
    </xf>
    <xf numFmtId="0" fontId="42" fillId="9" borderId="34" xfId="0" applyFont="1" applyFill="1" applyBorder="1" applyAlignment="1">
      <alignment horizontal="center" vertical="center" wrapText="1"/>
    </xf>
    <xf numFmtId="0" fontId="39" fillId="3" borderId="11" xfId="0" applyFont="1" applyFill="1" applyBorder="1" applyAlignment="1">
      <alignment horizontal="center" vertical="center"/>
    </xf>
    <xf numFmtId="0" fontId="39" fillId="3" borderId="12" xfId="0" applyFont="1" applyFill="1" applyBorder="1" applyAlignment="1">
      <alignment horizontal="center" vertical="center"/>
    </xf>
    <xf numFmtId="9" fontId="38" fillId="3" borderId="37" xfId="1" applyNumberFormat="1" applyFont="1" applyFill="1" applyBorder="1" applyAlignment="1">
      <alignment horizontal="center" vertical="center" wrapText="1"/>
    </xf>
    <xf numFmtId="0" fontId="20" fillId="7" borderId="20" xfId="0" applyFont="1" applyFill="1" applyBorder="1" applyAlignment="1">
      <alignment horizontal="center" vertical="center" wrapText="1"/>
    </xf>
    <xf numFmtId="0" fontId="20" fillId="7" borderId="7" xfId="0" applyFont="1" applyFill="1" applyBorder="1" applyAlignment="1">
      <alignment horizontal="center" vertical="center" wrapText="1"/>
    </xf>
    <xf numFmtId="0" fontId="20" fillId="7" borderId="21" xfId="0" applyFont="1" applyFill="1" applyBorder="1" applyAlignment="1">
      <alignment horizontal="center" vertical="center" wrapText="1"/>
    </xf>
    <xf numFmtId="0" fontId="20" fillId="7" borderId="17" xfId="0" applyFont="1" applyFill="1" applyBorder="1" applyAlignment="1">
      <alignment horizontal="center" vertical="center" wrapText="1"/>
    </xf>
    <xf numFmtId="0" fontId="20" fillId="7" borderId="0" xfId="0" applyFont="1" applyFill="1" applyAlignment="1">
      <alignment horizontal="center" vertical="center" wrapText="1"/>
    </xf>
    <xf numFmtId="0" fontId="49" fillId="3" borderId="53" xfId="0" applyFont="1" applyFill="1" applyBorder="1" applyAlignment="1">
      <alignment horizontal="center" vertical="center" wrapText="1"/>
    </xf>
    <xf numFmtId="0" fontId="49" fillId="3" borderId="54" xfId="0" applyFont="1" applyFill="1" applyBorder="1" applyAlignment="1">
      <alignment horizontal="center" vertical="center" wrapText="1"/>
    </xf>
    <xf numFmtId="0" fontId="49" fillId="3" borderId="55" xfId="0" applyFont="1" applyFill="1" applyBorder="1" applyAlignment="1">
      <alignment horizontal="center" vertical="center" wrapText="1"/>
    </xf>
    <xf numFmtId="0" fontId="2" fillId="3" borderId="61"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67" fillId="3" borderId="20" xfId="0" applyFont="1" applyFill="1" applyBorder="1" applyAlignment="1">
      <alignment horizontal="center"/>
    </xf>
    <xf numFmtId="0" fontId="67" fillId="3" borderId="7" xfId="0" applyFont="1" applyFill="1" applyBorder="1" applyAlignment="1">
      <alignment horizontal="center"/>
    </xf>
    <xf numFmtId="0" fontId="67" fillId="3" borderId="8" xfId="0" applyFont="1" applyFill="1" applyBorder="1" applyAlignment="1">
      <alignment horizontal="center"/>
    </xf>
    <xf numFmtId="0" fontId="48" fillId="3" borderId="13" xfId="0" applyFont="1" applyFill="1" applyBorder="1" applyAlignment="1">
      <alignment horizontal="center"/>
    </xf>
    <xf numFmtId="0" fontId="48" fillId="3" borderId="0" xfId="0" applyFont="1" applyFill="1" applyBorder="1" applyAlignment="1">
      <alignment horizontal="center"/>
    </xf>
    <xf numFmtId="0" fontId="48" fillId="3" borderId="1" xfId="0" applyFont="1" applyFill="1" applyBorder="1" applyAlignment="1">
      <alignment horizontal="center"/>
    </xf>
  </cellXfs>
  <cellStyles count="2">
    <cellStyle name="Normal" xfId="0" builtinId="0"/>
    <cellStyle name="Vírgula" xfId="1" builtinId="3"/>
  </cellStyles>
  <dxfs count="13">
    <dxf>
      <font>
        <b/>
        <i/>
        <color theme="0"/>
      </font>
      <fill>
        <patternFill>
          <bgColor theme="1"/>
        </patternFill>
      </fill>
    </dxf>
    <dxf>
      <font>
        <b/>
        <i val="0"/>
      </font>
      <fill>
        <patternFill>
          <bgColor theme="0" tint="-4.9989318521683403E-2"/>
        </patternFill>
      </fill>
    </dxf>
    <dxf>
      <font>
        <b/>
        <i val="0"/>
      </font>
      <fill>
        <patternFill>
          <bgColor theme="0" tint="-4.9989318521683403E-2"/>
        </patternFill>
      </fill>
    </dxf>
    <dxf>
      <font>
        <b/>
        <i val="0"/>
      </font>
      <fill>
        <patternFill>
          <bgColor theme="0" tint="-4.9989318521683403E-2"/>
        </patternFill>
      </fill>
    </dxf>
    <dxf>
      <font>
        <color theme="0"/>
      </font>
      <fill>
        <patternFill>
          <bgColor theme="1" tint="0.24994659260841701"/>
        </patternFill>
      </fill>
      <border>
        <left style="thin">
          <color theme="1"/>
        </left>
        <right style="thin">
          <color theme="1"/>
        </right>
        <top style="thin">
          <color theme="1"/>
        </top>
        <bottom style="thin">
          <color theme="1"/>
        </bottom>
      </border>
    </dxf>
    <dxf>
      <font>
        <b/>
        <i val="0"/>
      </font>
      <fill>
        <patternFill>
          <bgColor theme="0" tint="-4.9989318521683403E-2"/>
        </patternFill>
      </fill>
    </dxf>
    <dxf>
      <font>
        <b/>
        <i val="0"/>
      </font>
      <fill>
        <patternFill>
          <bgColor theme="0" tint="-4.9989318521683403E-2"/>
        </patternFill>
      </fill>
    </dxf>
    <dxf>
      <font>
        <b/>
        <i val="0"/>
      </font>
      <fill>
        <patternFill>
          <bgColor theme="0" tint="-4.9989318521683403E-2"/>
        </patternFill>
      </fill>
    </dxf>
    <dxf>
      <font>
        <b/>
        <i val="0"/>
      </font>
      <fill>
        <patternFill>
          <bgColor theme="0" tint="-4.9989318521683403E-2"/>
        </patternFill>
      </fill>
    </dxf>
    <dxf>
      <font>
        <b/>
        <i val="0"/>
      </font>
      <fill>
        <patternFill>
          <bgColor theme="0" tint="-4.9989318521683403E-2"/>
        </patternFill>
      </fill>
    </dxf>
    <dxf>
      <font>
        <b/>
        <i val="0"/>
        <color rgb="FFFF0000"/>
      </font>
    </dxf>
    <dxf>
      <font>
        <color rgb="FFFFFF00"/>
      </font>
    </dxf>
    <dxf>
      <font>
        <b/>
        <i/>
        <color theme="0"/>
      </font>
      <fill>
        <patternFill>
          <bgColor theme="1" tint="0.34998626667073579"/>
        </patternFill>
      </fill>
    </dxf>
  </dxfs>
  <tableStyles count="0" defaultTableStyle="TableStyleMedium2" defaultPivotStyle="PivotStyleLight16"/>
  <colors>
    <mruColors>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11</xdr:row>
          <xdr:rowOff>57150</xdr:rowOff>
        </xdr:from>
        <xdr:to>
          <xdr:col>3</xdr:col>
          <xdr:colOff>981075</xdr:colOff>
          <xdr:row>14</xdr:row>
          <xdr:rowOff>85725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cs typeface="Calibri"/>
                </a:rPr>
                <a:t>Limpar Campos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1057275</xdr:colOff>
          <xdr:row>11</xdr:row>
          <xdr:rowOff>57150</xdr:rowOff>
        </xdr:from>
        <xdr:to>
          <xdr:col>3</xdr:col>
          <xdr:colOff>2695575</xdr:colOff>
          <xdr:row>14</xdr:row>
          <xdr:rowOff>85725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cs typeface="Calibri"/>
                </a:rPr>
                <a:t>Imprimir Simulador</a:t>
              </a:r>
            </a:p>
          </xdr:txBody>
        </xdr:sp>
        <xdr:clientData/>
      </xdr:twoCellAnchor>
    </mc:Choice>
    <mc:Fallback/>
  </mc:AlternateContent>
  <xdr:twoCellAnchor>
    <xdr:from>
      <xdr:col>16</xdr:col>
      <xdr:colOff>962025</xdr:colOff>
      <xdr:row>2</xdr:row>
      <xdr:rowOff>76200</xdr:rowOff>
    </xdr:from>
    <xdr:to>
      <xdr:col>16</xdr:col>
      <xdr:colOff>1314450</xdr:colOff>
      <xdr:row>3</xdr:row>
      <xdr:rowOff>57150</xdr:rowOff>
    </xdr:to>
    <xdr:sp macro="" textlink="">
      <xdr:nvSpPr>
        <xdr:cNvPr id="3" name="Seta para baixo 2"/>
        <xdr:cNvSpPr/>
      </xdr:nvSpPr>
      <xdr:spPr>
        <a:xfrm>
          <a:off x="11268075" y="361950"/>
          <a:ext cx="352425" cy="30480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editAs="oneCell">
        <xdr:from>
          <xdr:col>1</xdr:col>
          <xdr:colOff>28575</xdr:colOff>
          <xdr:row>1</xdr:row>
          <xdr:rowOff>28575</xdr:rowOff>
        </xdr:from>
        <xdr:to>
          <xdr:col>1</xdr:col>
          <xdr:colOff>38100</xdr:colOff>
          <xdr:row>2</xdr:row>
          <xdr:rowOff>76200</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2466974</xdr:colOff>
      <xdr:row>9</xdr:row>
      <xdr:rowOff>152400</xdr:rowOff>
    </xdr:from>
    <xdr:to>
      <xdr:col>3</xdr:col>
      <xdr:colOff>2686050</xdr:colOff>
      <xdr:row>9</xdr:row>
      <xdr:rowOff>228600</xdr:rowOff>
    </xdr:to>
    <xdr:sp macro="" textlink="">
      <xdr:nvSpPr>
        <xdr:cNvPr id="4" name="Seta para a direita 3"/>
        <xdr:cNvSpPr/>
      </xdr:nvSpPr>
      <xdr:spPr>
        <a:xfrm>
          <a:off x="2962274" y="1400175"/>
          <a:ext cx="219076" cy="76200"/>
        </a:xfrm>
        <a:prstGeom prst="rightArrow">
          <a:avLst/>
        </a:prstGeom>
        <a:solidFill>
          <a:sysClr val="window" lastClr="FFFFFF"/>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rgbClr val="FFFF00"/>
            </a:solidFill>
          </a:endParaRPr>
        </a:p>
      </xdr:txBody>
    </xdr:sp>
    <xdr:clientData/>
  </xdr:twoCellAnchor>
  <xdr:twoCellAnchor editAs="oneCell">
    <xdr:from>
      <xdr:col>2</xdr:col>
      <xdr:colOff>0</xdr:colOff>
      <xdr:row>2</xdr:row>
      <xdr:rowOff>66675</xdr:rowOff>
    </xdr:from>
    <xdr:to>
      <xdr:col>3</xdr:col>
      <xdr:colOff>1457325</xdr:colOff>
      <xdr:row>4</xdr:row>
      <xdr:rowOff>104775</xdr:rowOff>
    </xdr:to>
    <xdr:pic>
      <xdr:nvPicPr>
        <xdr:cNvPr id="9" name="Imagem 8"/>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7650" y="352425"/>
          <a:ext cx="1704975"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57150</xdr:colOff>
      <xdr:row>9</xdr:row>
      <xdr:rowOff>9525</xdr:rowOff>
    </xdr:from>
    <xdr:to>
      <xdr:col>4</xdr:col>
      <xdr:colOff>161925</xdr:colOff>
      <xdr:row>10</xdr:row>
      <xdr:rowOff>133350</xdr:rowOff>
    </xdr:to>
    <xdr:sp macro="" textlink="">
      <xdr:nvSpPr>
        <xdr:cNvPr id="2" name="Seta para a Esquerda 1"/>
        <xdr:cNvSpPr/>
      </xdr:nvSpPr>
      <xdr:spPr>
        <a:xfrm>
          <a:off x="3000375" y="1352550"/>
          <a:ext cx="104775" cy="285750"/>
        </a:xfrm>
        <a:prstGeom prst="leftArrow">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
    <pageSetUpPr fitToPage="1"/>
  </sheetPr>
  <dimension ref="A1:U171"/>
  <sheetViews>
    <sheetView showGridLines="0" showRowColHeaders="0" tabSelected="1" zoomScaleNormal="100" workbookViewId="0">
      <selection activeCell="C1" sqref="C1"/>
    </sheetView>
  </sheetViews>
  <sheetFormatPr defaultColWidth="0" defaultRowHeight="15" x14ac:dyDescent="0.25"/>
  <cols>
    <col min="1" max="1" width="1.42578125" customWidth="1"/>
    <col min="2" max="2" width="2.28515625" customWidth="1"/>
    <col min="3" max="3" width="3.7109375" customWidth="1"/>
    <col min="4" max="4" width="41.7109375" customWidth="1"/>
    <col min="5" max="5" width="5.7109375" hidden="1" customWidth="1"/>
    <col min="6" max="6" width="18.7109375" customWidth="1"/>
    <col min="7" max="7" width="2.140625" style="50" customWidth="1"/>
    <col min="8" max="8" width="3.7109375" customWidth="1"/>
    <col min="9" max="9" width="41.7109375" style="50" customWidth="1"/>
    <col min="10" max="10" width="6.28515625" style="50" hidden="1" customWidth="1"/>
    <col min="11" max="11" width="15.7109375" style="50" customWidth="1"/>
    <col min="12" max="12" width="6.28515625" style="50" bestFit="1" customWidth="1"/>
    <col min="13" max="13" width="2.85546875" style="50" customWidth="1"/>
    <col min="14" max="14" width="2.5703125" hidden="1" customWidth="1"/>
    <col min="15" max="15" width="3.85546875" customWidth="1"/>
    <col min="16" max="16" width="1" customWidth="1"/>
    <col min="17" max="17" width="34.7109375" customWidth="1"/>
    <col min="18" max="18" width="8.5703125" customWidth="1"/>
    <col min="19" max="19" width="5" style="35" customWidth="1"/>
    <col min="20" max="20" width="39.5703125" style="35" customWidth="1"/>
    <col min="21" max="21" width="60.42578125" style="35" bestFit="1" customWidth="1"/>
    <col min="22" max="16384" width="9.140625" hidden="1"/>
  </cols>
  <sheetData>
    <row r="1" spans="2:21" ht="8.1" customHeight="1" x14ac:dyDescent="0.25">
      <c r="N1" s="26"/>
      <c r="S1" s="176"/>
      <c r="T1" s="152"/>
      <c r="U1" s="152"/>
    </row>
    <row r="2" spans="2:21" x14ac:dyDescent="0.25">
      <c r="B2" s="22"/>
      <c r="C2" s="7"/>
      <c r="D2" s="7"/>
      <c r="E2" s="7"/>
      <c r="F2" s="7"/>
      <c r="G2" s="51"/>
      <c r="H2" s="7"/>
      <c r="I2" s="51"/>
      <c r="J2" s="51"/>
      <c r="K2" s="51"/>
      <c r="L2" s="52"/>
      <c r="N2" s="26"/>
      <c r="Q2" s="6" t="s">
        <v>5</v>
      </c>
      <c r="S2" s="152"/>
      <c r="T2" s="152"/>
    </row>
    <row r="3" spans="2:21" ht="21.75" customHeight="1" x14ac:dyDescent="0.25">
      <c r="B3" s="243" t="s">
        <v>7</v>
      </c>
      <c r="C3" s="244"/>
      <c r="D3" s="244"/>
      <c r="E3" s="244"/>
      <c r="F3" s="244"/>
      <c r="G3" s="244"/>
      <c r="H3" s="244"/>
      <c r="I3" s="244"/>
      <c r="J3" s="244"/>
      <c r="K3" s="244"/>
      <c r="L3" s="245"/>
      <c r="N3" s="26"/>
      <c r="Q3" s="28"/>
      <c r="S3" s="152"/>
      <c r="T3" s="152"/>
    </row>
    <row r="4" spans="2:21" ht="18.75" x14ac:dyDescent="0.3">
      <c r="B4" s="252" t="s">
        <v>55</v>
      </c>
      <c r="C4" s="253"/>
      <c r="D4" s="253"/>
      <c r="E4" s="253"/>
      <c r="F4" s="253"/>
      <c r="G4" s="253"/>
      <c r="H4" s="253"/>
      <c r="I4" s="253"/>
      <c r="J4" s="253"/>
      <c r="K4" s="253"/>
      <c r="L4" s="254"/>
      <c r="N4" s="26"/>
      <c r="Q4" s="28"/>
      <c r="S4" s="152"/>
      <c r="T4" s="152"/>
    </row>
    <row r="5" spans="2:21" ht="28.5" customHeight="1" thickBot="1" x14ac:dyDescent="0.3">
      <c r="B5" s="246" t="s">
        <v>56</v>
      </c>
      <c r="C5" s="247"/>
      <c r="D5" s="247"/>
      <c r="E5" s="247"/>
      <c r="F5" s="247"/>
      <c r="G5" s="247"/>
      <c r="H5" s="247"/>
      <c r="I5" s="247"/>
      <c r="J5" s="247"/>
      <c r="K5" s="247"/>
      <c r="L5" s="248"/>
      <c r="N5" s="26"/>
      <c r="Q5" s="206"/>
      <c r="S5" s="152"/>
      <c r="T5" s="152"/>
    </row>
    <row r="6" spans="2:21" ht="16.5" thickTop="1" x14ac:dyDescent="0.25">
      <c r="B6" s="249" t="s">
        <v>287</v>
      </c>
      <c r="C6" s="249"/>
      <c r="D6" s="249"/>
      <c r="E6" s="249"/>
      <c r="F6" s="249"/>
      <c r="G6" s="249"/>
      <c r="H6" s="249"/>
      <c r="I6" s="249"/>
      <c r="J6" s="249"/>
      <c r="K6" s="249"/>
      <c r="L6" s="249"/>
      <c r="N6" s="26"/>
      <c r="Q6" s="4"/>
      <c r="S6" s="152"/>
      <c r="T6" s="152"/>
    </row>
    <row r="7" spans="2:21" ht="15.75" hidden="1" x14ac:dyDescent="0.25">
      <c r="B7" s="154"/>
      <c r="C7" s="155"/>
      <c r="D7" s="155"/>
      <c r="E7" s="155"/>
      <c r="F7" s="155"/>
      <c r="G7" s="155"/>
      <c r="H7" s="155"/>
      <c r="I7" s="155"/>
      <c r="J7" s="155"/>
      <c r="K7" s="155"/>
      <c r="L7" s="156"/>
      <c r="N7" s="26"/>
      <c r="Q7" s="4"/>
      <c r="S7" s="152"/>
      <c r="T7" s="152"/>
    </row>
    <row r="8" spans="2:21" hidden="1" x14ac:dyDescent="0.25">
      <c r="B8" s="23"/>
      <c r="H8" s="64"/>
      <c r="I8" s="64"/>
      <c r="J8" s="64"/>
      <c r="K8" s="64"/>
      <c r="L8" s="153"/>
      <c r="N8" s="26"/>
      <c r="Q8" s="4"/>
      <c r="S8" s="152"/>
      <c r="T8" s="152"/>
    </row>
    <row r="9" spans="2:21" x14ac:dyDescent="0.25">
      <c r="B9" s="157"/>
      <c r="C9" s="1"/>
      <c r="D9" s="158"/>
      <c r="E9" s="158"/>
      <c r="F9" s="158"/>
      <c r="G9" s="158"/>
      <c r="H9" s="64"/>
      <c r="I9" s="64"/>
      <c r="J9" s="64"/>
      <c r="K9" s="64"/>
      <c r="L9" s="153"/>
      <c r="N9" s="26"/>
      <c r="Q9" s="4"/>
      <c r="S9" s="152"/>
      <c r="T9" s="152"/>
    </row>
    <row r="10" spans="2:21" ht="27" customHeight="1" x14ac:dyDescent="0.25">
      <c r="B10" s="23"/>
      <c r="C10" s="250" t="str">
        <f>IF(E10="","Selecione o Vínculo do Servidor","Vínculo do Servidor")</f>
        <v>Vínculo do Servidor</v>
      </c>
      <c r="D10" s="251"/>
      <c r="E10" s="255" t="s">
        <v>233</v>
      </c>
      <c r="F10" s="256"/>
      <c r="G10" s="202"/>
      <c r="H10" s="237" t="s">
        <v>36</v>
      </c>
      <c r="I10" s="238"/>
      <c r="J10" s="239"/>
      <c r="K10" s="240"/>
      <c r="L10" s="32"/>
      <c r="N10" s="26"/>
      <c r="Q10" s="235" t="str">
        <f>IF(Q5="","Para realizar a pesquisa, digite parte da rúbrica, na célula em azul, com no mínimo 3 digitos (Expl.: EMP, SIND, VENC)",IF(LEN(Q5)&lt;3,"Você inseriu menos de 3 digitos, nao serão listadas todas as rubricas localizadas",IF(T22="","Atenção! Rubrica não consta na relação. Contate a Bradesco Financiamentos.","Ok! Localizadas "&amp;TEXT(SUM('Relação de Rubricas'!A4:A930),"00")&amp;" Rubricas contendo esta palavra. Veja a lista ao lado &gt;&gt;&gt;")))</f>
        <v>Para realizar a pesquisa, digite parte da rúbrica, na célula em azul, com no mínimo 3 digitos (Expl.: EMP, SIND, VENC)</v>
      </c>
      <c r="S10" s="152"/>
      <c r="T10" s="152"/>
    </row>
    <row r="11" spans="2:21" ht="31.5" customHeight="1" x14ac:dyDescent="0.25">
      <c r="B11" s="23"/>
      <c r="C11" s="201"/>
      <c r="D11" s="201"/>
      <c r="E11" s="201"/>
      <c r="F11" s="203">
        <v>999</v>
      </c>
      <c r="G11" s="202"/>
      <c r="H11" s="241" t="str">
        <f>IF('Planilha de Calculo'!T21&gt;0,'Planilha de Calculo'!L10,'Planilha de Calculo'!L9)</f>
        <v>Operação Nova</v>
      </c>
      <c r="I11" s="242"/>
      <c r="J11" s="182"/>
      <c r="K11" s="109">
        <f>IF(F11="","",IF('Planilha de Calculo'!T21&gt;0,'Planilha de Calculo'!M10,'Planilha de Calculo'!M9))</f>
        <v>0</v>
      </c>
      <c r="L11" s="32"/>
      <c r="N11" s="26"/>
      <c r="Q11" s="235"/>
      <c r="S11" s="152"/>
      <c r="T11" s="152"/>
      <c r="U11" s="177"/>
    </row>
    <row r="12" spans="2:21" ht="15.75" x14ac:dyDescent="0.25">
      <c r="B12" s="23"/>
      <c r="C12" s="8"/>
      <c r="D12" s="8"/>
      <c r="E12" s="8"/>
      <c r="F12" s="33"/>
      <c r="G12" s="69"/>
      <c r="H12" s="34"/>
      <c r="I12" s="53"/>
      <c r="J12" s="53"/>
      <c r="K12" s="54"/>
      <c r="L12" s="55"/>
      <c r="N12" s="26"/>
      <c r="S12" s="152"/>
      <c r="T12" s="152"/>
      <c r="U12" s="152"/>
    </row>
    <row r="13" spans="2:21" ht="7.5" hidden="1" customHeight="1" x14ac:dyDescent="0.25">
      <c r="B13" s="23"/>
      <c r="C13" s="25"/>
      <c r="D13" s="25"/>
      <c r="E13" s="25"/>
      <c r="F13" s="45"/>
      <c r="G13" s="70"/>
      <c r="H13" s="31"/>
      <c r="I13" s="53"/>
      <c r="J13" s="53"/>
      <c r="K13" s="54"/>
      <c r="L13" s="55"/>
      <c r="N13" s="26"/>
      <c r="S13" s="152"/>
      <c r="T13" s="152"/>
      <c r="U13" s="152"/>
    </row>
    <row r="14" spans="2:21" ht="7.5" hidden="1" customHeight="1" x14ac:dyDescent="0.25">
      <c r="B14" s="23"/>
      <c r="C14" s="25"/>
      <c r="D14" s="25"/>
      <c r="E14" s="25"/>
      <c r="F14" s="36"/>
      <c r="G14" s="70"/>
      <c r="H14" s="36"/>
      <c r="I14" s="56"/>
      <c r="J14" s="56"/>
      <c r="K14" s="54"/>
      <c r="L14" s="55"/>
      <c r="N14" s="26"/>
      <c r="S14" s="152"/>
      <c r="T14" s="152"/>
      <c r="U14" s="152"/>
    </row>
    <row r="15" spans="2:21" ht="15.75" thickBot="1" x14ac:dyDescent="0.3">
      <c r="B15" s="24"/>
      <c r="C15" s="27"/>
      <c r="D15" s="27"/>
      <c r="E15" s="27"/>
      <c r="F15" s="27"/>
      <c r="G15" s="68"/>
      <c r="H15" s="49"/>
      <c r="I15" s="57"/>
      <c r="J15" s="57"/>
      <c r="K15" s="58"/>
      <c r="L15" s="59"/>
      <c r="N15" s="26"/>
      <c r="Q15" s="50"/>
      <c r="S15" s="152"/>
      <c r="T15" s="152"/>
      <c r="U15" s="152"/>
    </row>
    <row r="16" spans="2:21" s="5" customFormat="1" ht="7.5" customHeight="1" thickTop="1" x14ac:dyDescent="0.25">
      <c r="G16" s="60"/>
      <c r="H16" s="10"/>
      <c r="I16" s="60"/>
      <c r="J16" s="60"/>
      <c r="K16" s="11"/>
      <c r="L16" s="60"/>
      <c r="M16" s="60"/>
      <c r="N16" s="18"/>
      <c r="P16" s="19"/>
      <c r="Q16" s="180"/>
      <c r="R16" s="4"/>
      <c r="S16" s="178"/>
      <c r="T16" s="152"/>
      <c r="U16" s="152"/>
    </row>
    <row r="17" spans="2:21" s="5" customFormat="1" ht="9" customHeight="1" x14ac:dyDescent="0.25">
      <c r="B17" s="20"/>
      <c r="C17" s="7"/>
      <c r="D17" s="7"/>
      <c r="E17" s="7"/>
      <c r="F17" s="7"/>
      <c r="G17" s="51"/>
      <c r="H17" s="12"/>
      <c r="I17" s="51"/>
      <c r="J17" s="51"/>
      <c r="K17" s="13"/>
      <c r="L17" s="52"/>
      <c r="M17" s="60"/>
      <c r="N17" s="18"/>
      <c r="P17" s="19"/>
      <c r="Q17" s="180"/>
      <c r="R17" s="4"/>
      <c r="S17" s="37"/>
      <c r="T17" s="35"/>
      <c r="U17" s="35"/>
    </row>
    <row r="18" spans="2:21" ht="19.5" customHeight="1" x14ac:dyDescent="0.3">
      <c r="B18" s="21"/>
      <c r="C18" s="14" t="s">
        <v>16</v>
      </c>
      <c r="D18" s="15"/>
      <c r="E18" s="15"/>
      <c r="F18" s="16"/>
      <c r="G18" s="67"/>
      <c r="H18" s="14" t="s">
        <v>35</v>
      </c>
      <c r="I18" s="61"/>
      <c r="J18" s="61"/>
      <c r="K18" s="62"/>
      <c r="L18" s="63"/>
      <c r="N18" s="26"/>
      <c r="Q18" s="234"/>
      <c r="R18" s="4"/>
      <c r="S18" s="236" t="s">
        <v>6</v>
      </c>
      <c r="T18" s="236"/>
      <c r="U18" s="236"/>
    </row>
    <row r="19" spans="2:21" ht="3" customHeight="1" x14ac:dyDescent="0.25">
      <c r="B19" s="21"/>
      <c r="C19" s="9"/>
      <c r="D19" s="9"/>
      <c r="E19" s="9"/>
      <c r="F19" s="9"/>
      <c r="G19" s="64"/>
      <c r="H19" s="47"/>
      <c r="I19" s="64"/>
      <c r="J19" s="64"/>
      <c r="K19" s="64"/>
      <c r="L19" s="269" t="s">
        <v>49</v>
      </c>
      <c r="M19" s="269"/>
      <c r="N19" s="26"/>
      <c r="Q19" s="234"/>
      <c r="R19" s="4"/>
      <c r="S19" s="38"/>
      <c r="T19" s="39"/>
      <c r="U19" s="39"/>
    </row>
    <row r="20" spans="2:21" x14ac:dyDescent="0.25">
      <c r="B20" s="21"/>
      <c r="C20" s="258" t="s">
        <v>39</v>
      </c>
      <c r="D20" s="259"/>
      <c r="E20" s="204" t="s">
        <v>48</v>
      </c>
      <c r="F20" s="205" t="s">
        <v>33</v>
      </c>
      <c r="G20" s="64"/>
      <c r="H20" s="258" t="s">
        <v>39</v>
      </c>
      <c r="I20" s="259"/>
      <c r="J20" s="204" t="s">
        <v>48</v>
      </c>
      <c r="K20" s="205" t="s">
        <v>33</v>
      </c>
      <c r="L20" s="269"/>
      <c r="M20" s="269"/>
      <c r="N20" s="26"/>
      <c r="Q20" s="220"/>
      <c r="R20" s="4"/>
      <c r="S20" s="40" t="s">
        <v>1</v>
      </c>
      <c r="T20" s="40" t="s">
        <v>2</v>
      </c>
      <c r="U20" s="41" t="s">
        <v>3</v>
      </c>
    </row>
    <row r="21" spans="2:21" ht="8.1" customHeight="1" x14ac:dyDescent="0.25">
      <c r="B21" s="21"/>
      <c r="C21" s="47"/>
      <c r="D21" s="9"/>
      <c r="E21" s="9"/>
      <c r="F21" s="9"/>
      <c r="G21" s="140"/>
      <c r="H21" s="47"/>
      <c r="I21" s="64"/>
      <c r="J21" s="64"/>
      <c r="K21" s="64"/>
      <c r="L21" s="269"/>
      <c r="M21" s="269"/>
      <c r="N21" s="26"/>
      <c r="Q21" s="220"/>
      <c r="R21" s="4"/>
    </row>
    <row r="22" spans="2:21" x14ac:dyDescent="0.25">
      <c r="B22" s="21"/>
      <c r="C22" s="46">
        <v>1</v>
      </c>
      <c r="D22" s="29"/>
      <c r="E22" s="183"/>
      <c r="F22" s="30"/>
      <c r="G22" s="141"/>
      <c r="H22" s="46">
        <v>1</v>
      </c>
      <c r="I22" s="29"/>
      <c r="J22" s="183"/>
      <c r="K22" s="30"/>
      <c r="L22" s="65"/>
      <c r="M22"/>
      <c r="N22" s="26"/>
      <c r="P22" s="44"/>
      <c r="Q22" s="221" t="s">
        <v>46</v>
      </c>
      <c r="R22" s="4"/>
      <c r="S22" s="42" t="str">
        <f>IF(SUM('Relação de Rubricas'!A4:A480)=0,"",IF($Q$5="","",1+S21))</f>
        <v/>
      </c>
      <c r="T22" s="43" t="str">
        <f>IF(ISERROR(VLOOKUP(S22,'Relação de Rubricas'!C:F,3,0)),"",VLOOKUP(S22,'Relação de Rubricas'!C:F,3,0))</f>
        <v/>
      </c>
      <c r="U22" s="175" t="str">
        <f>IF(ISERROR(VLOOKUP(S22,'Relação de Rubricas'!C:M,11,0)),"",VLOOKUP(S22,'Relação de Rubricas'!C:M,11,0))</f>
        <v/>
      </c>
    </row>
    <row r="23" spans="2:21" x14ac:dyDescent="0.25">
      <c r="B23" s="21"/>
      <c r="C23" s="46">
        <v>2</v>
      </c>
      <c r="D23" s="29"/>
      <c r="E23" s="183"/>
      <c r="F23" s="30"/>
      <c r="G23" s="141"/>
      <c r="H23" s="46">
        <v>2</v>
      </c>
      <c r="I23" s="29"/>
      <c r="J23" s="183"/>
      <c r="K23" s="30"/>
      <c r="L23" s="65"/>
      <c r="M23"/>
      <c r="N23" s="26"/>
      <c r="Q23" s="222" t="s">
        <v>13</v>
      </c>
      <c r="R23" s="4"/>
      <c r="S23" s="42" t="str">
        <f>IF(SUM('Relação de Rubricas'!A5:A481)=0,"",IF($Q$5="","",1+S22))</f>
        <v/>
      </c>
      <c r="T23" s="43" t="str">
        <f>IF(ISERROR(VLOOKUP(S23,'Relação de Rubricas'!C:F,3,0)),"",VLOOKUP(S23,'Relação de Rubricas'!C:F,3,0))</f>
        <v/>
      </c>
      <c r="U23" s="175" t="str">
        <f>IF(ISERROR(VLOOKUP(S23,'Relação de Rubricas'!C:M,11,0)),"",VLOOKUP(S23,'Relação de Rubricas'!C:M,11,0))</f>
        <v/>
      </c>
    </row>
    <row r="24" spans="2:21" x14ac:dyDescent="0.25">
      <c r="B24" s="21"/>
      <c r="C24" s="46">
        <v>3</v>
      </c>
      <c r="D24" s="29"/>
      <c r="E24" s="183"/>
      <c r="F24" s="30"/>
      <c r="G24" s="141"/>
      <c r="H24" s="46">
        <v>3</v>
      </c>
      <c r="I24" s="29"/>
      <c r="J24" s="183"/>
      <c r="K24" s="30"/>
      <c r="L24" s="65"/>
      <c r="M24"/>
      <c r="N24" s="26"/>
      <c r="Q24" s="223"/>
      <c r="R24" s="4"/>
      <c r="S24" s="42" t="str">
        <f>IF(SUM('Relação de Rubricas'!A6:A482)=0,"",IF($Q$5="","",1+S23))</f>
        <v/>
      </c>
      <c r="T24" s="43" t="str">
        <f>IF(ISERROR(VLOOKUP(S24,'Relação de Rubricas'!C:F,3,0)),"",VLOOKUP(S24,'Relação de Rubricas'!C:F,3,0))</f>
        <v/>
      </c>
      <c r="U24" s="175" t="str">
        <f>IF(ISERROR(VLOOKUP(S24,'Relação de Rubricas'!C:M,11,0)),"",VLOOKUP(S24,'Relação de Rubricas'!C:M,11,0))</f>
        <v/>
      </c>
    </row>
    <row r="25" spans="2:21" x14ac:dyDescent="0.25">
      <c r="B25" s="21"/>
      <c r="C25" s="46">
        <v>4</v>
      </c>
      <c r="D25" s="29"/>
      <c r="E25" s="183"/>
      <c r="F25" s="30"/>
      <c r="G25" s="141"/>
      <c r="H25" s="46">
        <v>4</v>
      </c>
      <c r="I25" s="29"/>
      <c r="J25" s="183"/>
      <c r="K25" s="30"/>
      <c r="L25" s="65"/>
      <c r="M25"/>
      <c r="N25" s="26"/>
      <c r="Q25" s="221" t="s">
        <v>45</v>
      </c>
      <c r="R25" s="4"/>
      <c r="S25" s="42" t="str">
        <f>IF(SUM('Relação de Rubricas'!A7:A483)=0,"",IF($Q$5="","",1+S24))</f>
        <v/>
      </c>
      <c r="T25" s="43" t="str">
        <f>IF(ISERROR(VLOOKUP(S25,'Relação de Rubricas'!C:F,3,0)),"",VLOOKUP(S25,'Relação de Rubricas'!C:F,3,0))</f>
        <v/>
      </c>
      <c r="U25" s="175" t="str">
        <f>IF(ISERROR(VLOOKUP(S25,'Relação de Rubricas'!C:M,11,0)),"",VLOOKUP(S25,'Relação de Rubricas'!C:M,11,0))</f>
        <v/>
      </c>
    </row>
    <row r="26" spans="2:21" x14ac:dyDescent="0.25">
      <c r="B26" s="21"/>
      <c r="C26" s="46">
        <v>5</v>
      </c>
      <c r="D26" s="29"/>
      <c r="E26" s="183"/>
      <c r="F26" s="30"/>
      <c r="G26" s="141"/>
      <c r="H26" s="46">
        <v>5</v>
      </c>
      <c r="I26" s="29"/>
      <c r="J26" s="183"/>
      <c r="K26" s="30"/>
      <c r="L26" s="65"/>
      <c r="M26"/>
      <c r="N26" s="26"/>
      <c r="Q26" s="222" t="s">
        <v>233</v>
      </c>
      <c r="R26" s="4"/>
      <c r="S26" s="42" t="str">
        <f>IF(SUM('Relação de Rubricas'!A8:A484)=0,"",IF($Q$5="","",1+S25))</f>
        <v/>
      </c>
      <c r="T26" s="43" t="str">
        <f>IF(ISERROR(VLOOKUP(S26,'Relação de Rubricas'!C:F,3,0)),"",VLOOKUP(S26,'Relação de Rubricas'!C:F,3,0))</f>
        <v/>
      </c>
      <c r="U26" s="175" t="str">
        <f>IF(ISERROR(VLOOKUP(S26,'Relação de Rubricas'!C:M,11,0)),"",VLOOKUP(S26,'Relação de Rubricas'!C:M,11,0))</f>
        <v/>
      </c>
    </row>
    <row r="27" spans="2:21" x14ac:dyDescent="0.25">
      <c r="B27" s="21"/>
      <c r="C27" s="46">
        <v>6</v>
      </c>
      <c r="D27" s="29"/>
      <c r="E27" s="183"/>
      <c r="F27" s="30"/>
      <c r="G27" s="141"/>
      <c r="H27" s="46">
        <v>6</v>
      </c>
      <c r="I27" s="29"/>
      <c r="J27" s="183"/>
      <c r="K27" s="30"/>
      <c r="L27" s="65"/>
      <c r="M27"/>
      <c r="N27" s="26"/>
      <c r="Q27" s="222" t="s">
        <v>263</v>
      </c>
      <c r="R27" s="4"/>
      <c r="S27" s="42" t="str">
        <f>IF(SUM('Relação de Rubricas'!A9:A485)=0,"",IF($Q$5="","",1+S26))</f>
        <v/>
      </c>
      <c r="T27" s="43" t="str">
        <f>IF(ISERROR(VLOOKUP(S27,'Relação de Rubricas'!C:F,3,0)),"",VLOOKUP(S27,'Relação de Rubricas'!C:F,3,0))</f>
        <v/>
      </c>
      <c r="U27" s="175" t="str">
        <f>IF(ISERROR(VLOOKUP(S27,'Relação de Rubricas'!C:M,11,0)),"",VLOOKUP(S27,'Relação de Rubricas'!C:M,11,0))</f>
        <v/>
      </c>
    </row>
    <row r="28" spans="2:21" x14ac:dyDescent="0.25">
      <c r="B28" s="21"/>
      <c r="C28" s="46">
        <v>7</v>
      </c>
      <c r="D28" s="29"/>
      <c r="E28" s="183"/>
      <c r="F28" s="30"/>
      <c r="G28" s="141"/>
      <c r="H28" s="46">
        <v>7</v>
      </c>
      <c r="I28" s="29"/>
      <c r="J28" s="183"/>
      <c r="K28" s="30"/>
      <c r="L28" s="65"/>
      <c r="M28"/>
      <c r="N28" s="26"/>
      <c r="Q28" s="222" t="s">
        <v>234</v>
      </c>
      <c r="R28" s="4"/>
      <c r="S28" s="42" t="str">
        <f>IF(SUM('Relação de Rubricas'!A10:A486)=0,"",IF($Q$5="","",1+S27))</f>
        <v/>
      </c>
      <c r="T28" s="43" t="str">
        <f>IF(ISERROR(VLOOKUP(S28,'Relação de Rubricas'!C:F,3,0)),"",VLOOKUP(S28,'Relação de Rubricas'!C:F,3,0))</f>
        <v/>
      </c>
      <c r="U28" s="175" t="str">
        <f>IF(ISERROR(VLOOKUP(S28,'Relação de Rubricas'!C:M,11,0)),"",VLOOKUP(S28,'Relação de Rubricas'!C:M,11,0))</f>
        <v/>
      </c>
    </row>
    <row r="29" spans="2:21" x14ac:dyDescent="0.25">
      <c r="B29" s="21"/>
      <c r="C29" s="46">
        <v>8</v>
      </c>
      <c r="D29" s="29"/>
      <c r="E29" s="183"/>
      <c r="F29" s="30"/>
      <c r="G29" s="141"/>
      <c r="H29" s="46">
        <v>8</v>
      </c>
      <c r="I29" s="29"/>
      <c r="J29" s="183"/>
      <c r="K29" s="30"/>
      <c r="L29" s="65"/>
      <c r="M29"/>
      <c r="N29" s="26"/>
      <c r="Q29" s="222" t="s">
        <v>235</v>
      </c>
      <c r="R29" s="4"/>
      <c r="S29" s="42" t="str">
        <f>IF(SUM('Relação de Rubricas'!A11:A487)=0,"",IF($Q$5="","",1+S28))</f>
        <v/>
      </c>
      <c r="T29" s="43" t="str">
        <f>IF(ISERROR(VLOOKUP(S29,'Relação de Rubricas'!C:F,3,0)),"",VLOOKUP(S29,'Relação de Rubricas'!C:F,3,0))</f>
        <v/>
      </c>
      <c r="U29" s="175" t="str">
        <f>IF(ISERROR(VLOOKUP(S29,'Relação de Rubricas'!C:M,11,0)),"",VLOOKUP(S29,'Relação de Rubricas'!C:M,11,0))</f>
        <v/>
      </c>
    </row>
    <row r="30" spans="2:21" x14ac:dyDescent="0.25">
      <c r="B30" s="21"/>
      <c r="C30" s="46">
        <v>9</v>
      </c>
      <c r="D30" s="29"/>
      <c r="E30" s="183"/>
      <c r="F30" s="30"/>
      <c r="G30" s="141"/>
      <c r="H30" s="46">
        <v>9</v>
      </c>
      <c r="I30" s="29"/>
      <c r="J30" s="183"/>
      <c r="K30" s="30"/>
      <c r="L30" s="65"/>
      <c r="M30"/>
      <c r="N30" s="26"/>
      <c r="Q30" s="222" t="s">
        <v>236</v>
      </c>
      <c r="R30" s="4"/>
      <c r="S30" s="42" t="str">
        <f>IF(SUM('Relação de Rubricas'!A12:A488)=0,"",IF($Q$5="","",1+S29))</f>
        <v/>
      </c>
      <c r="T30" s="43" t="str">
        <f>IF(ISERROR(VLOOKUP(S30,'Relação de Rubricas'!C:F,3,0)),"",VLOOKUP(S30,'Relação de Rubricas'!C:F,3,0))</f>
        <v/>
      </c>
      <c r="U30" s="175" t="str">
        <f>IF(ISERROR(VLOOKUP(S30,'Relação de Rubricas'!C:M,11,0)),"",VLOOKUP(S30,'Relação de Rubricas'!C:M,11,0))</f>
        <v/>
      </c>
    </row>
    <row r="31" spans="2:21" x14ac:dyDescent="0.25">
      <c r="B31" s="21"/>
      <c r="C31" s="46">
        <v>10</v>
      </c>
      <c r="D31" s="29"/>
      <c r="E31" s="183"/>
      <c r="F31" s="30"/>
      <c r="G31" s="141"/>
      <c r="H31" s="46">
        <v>10</v>
      </c>
      <c r="I31" s="29"/>
      <c r="J31" s="183"/>
      <c r="K31" s="30"/>
      <c r="L31" s="65"/>
      <c r="M31"/>
      <c r="N31" s="26"/>
      <c r="Q31" s="222" t="s">
        <v>52</v>
      </c>
      <c r="R31" s="4"/>
      <c r="S31" s="42" t="str">
        <f>IF(SUM('Relação de Rubricas'!A13:A489)=0,"",IF($Q$5="","",1+S30))</f>
        <v/>
      </c>
      <c r="T31" s="43" t="str">
        <f>IF(ISERROR(VLOOKUP(S31,'Relação de Rubricas'!C:F,3,0)),"",VLOOKUP(S31,'Relação de Rubricas'!C:F,3,0))</f>
        <v/>
      </c>
      <c r="U31" s="175" t="str">
        <f>IF(ISERROR(VLOOKUP(S31,'Relação de Rubricas'!C:M,11,0)),"",VLOOKUP(S31,'Relação de Rubricas'!C:M,11,0))</f>
        <v/>
      </c>
    </row>
    <row r="32" spans="2:21" x14ac:dyDescent="0.25">
      <c r="B32" s="21"/>
      <c r="C32" s="46">
        <v>11</v>
      </c>
      <c r="D32" s="29"/>
      <c r="E32" s="183"/>
      <c r="F32" s="30"/>
      <c r="G32" s="141"/>
      <c r="H32" s="46">
        <v>11</v>
      </c>
      <c r="I32" s="29"/>
      <c r="J32" s="183"/>
      <c r="K32" s="30"/>
      <c r="L32" s="65"/>
      <c r="M32"/>
      <c r="N32" s="26"/>
      <c r="Q32" s="214"/>
      <c r="R32" s="4"/>
      <c r="S32" s="42" t="str">
        <f>IF(SUM('Relação de Rubricas'!A14:A490)=0,"",IF($Q$5="","",1+S31))</f>
        <v/>
      </c>
      <c r="T32" s="43" t="str">
        <f>IF(ISERROR(VLOOKUP(S32,'Relação de Rubricas'!C:F,3,0)),"",VLOOKUP(S32,'Relação de Rubricas'!C:F,3,0))</f>
        <v/>
      </c>
      <c r="U32" s="175" t="str">
        <f>IF(ISERROR(VLOOKUP(S32,'Relação de Rubricas'!C:M,11,0)),"",VLOOKUP(S32,'Relação de Rubricas'!C:M,11,0))</f>
        <v/>
      </c>
    </row>
    <row r="33" spans="2:21" x14ac:dyDescent="0.25">
      <c r="B33" s="21"/>
      <c r="C33" s="46">
        <v>12</v>
      </c>
      <c r="D33" s="29"/>
      <c r="E33" s="183"/>
      <c r="F33" s="30"/>
      <c r="G33" s="141"/>
      <c r="H33" s="46">
        <v>12</v>
      </c>
      <c r="I33" s="29"/>
      <c r="J33" s="183"/>
      <c r="K33" s="30"/>
      <c r="L33" s="65"/>
      <c r="M33"/>
      <c r="N33" s="26"/>
      <c r="Q33" s="214"/>
      <c r="R33" s="4"/>
      <c r="S33" s="42" t="str">
        <f>IF(SUM('Relação de Rubricas'!A15:A491)=0,"",IF($Q$5="","",1+S32))</f>
        <v/>
      </c>
      <c r="T33" s="43" t="str">
        <f>IF(ISERROR(VLOOKUP(S33,'Relação de Rubricas'!C:F,3,0)),"",VLOOKUP(S33,'Relação de Rubricas'!C:F,3,0))</f>
        <v/>
      </c>
      <c r="U33" s="175" t="str">
        <f>IF(ISERROR(VLOOKUP(S33,'Relação de Rubricas'!C:M,11,0)),"",VLOOKUP(S33,'Relação de Rubricas'!C:M,11,0))</f>
        <v/>
      </c>
    </row>
    <row r="34" spans="2:21" x14ac:dyDescent="0.25">
      <c r="B34" s="21"/>
      <c r="C34" s="46">
        <v>13</v>
      </c>
      <c r="D34" s="29"/>
      <c r="E34" s="183"/>
      <c r="F34" s="30"/>
      <c r="G34" s="141"/>
      <c r="H34" s="46">
        <v>13</v>
      </c>
      <c r="I34" s="29"/>
      <c r="J34" s="183"/>
      <c r="K34" s="30"/>
      <c r="L34" s="65"/>
      <c r="M34"/>
      <c r="N34" s="26"/>
      <c r="Q34" s="214"/>
      <c r="R34" s="4"/>
      <c r="S34" s="42" t="str">
        <f>IF(SUM('Relação de Rubricas'!A16:A492)=0,"",IF($Q$5="","",1+S33))</f>
        <v/>
      </c>
      <c r="T34" s="43" t="str">
        <f>IF(ISERROR(VLOOKUP(S34,'Relação de Rubricas'!C:F,3,0)),"",VLOOKUP(S34,'Relação de Rubricas'!C:F,3,0))</f>
        <v/>
      </c>
      <c r="U34" s="175" t="str">
        <f>IF(ISERROR(VLOOKUP(S34,'Relação de Rubricas'!C:M,11,0)),"",VLOOKUP(S34,'Relação de Rubricas'!C:M,11,0))</f>
        <v/>
      </c>
    </row>
    <row r="35" spans="2:21" x14ac:dyDescent="0.25">
      <c r="B35" s="21"/>
      <c r="C35" s="46">
        <v>14</v>
      </c>
      <c r="D35" s="29"/>
      <c r="E35" s="183"/>
      <c r="F35" s="30"/>
      <c r="G35" s="141"/>
      <c r="H35" s="46">
        <v>14</v>
      </c>
      <c r="I35" s="29"/>
      <c r="J35" s="183"/>
      <c r="K35" s="30"/>
      <c r="L35" s="65"/>
      <c r="M35"/>
      <c r="N35" s="26"/>
      <c r="Q35" s="180"/>
      <c r="R35" s="4"/>
      <c r="S35" s="42" t="str">
        <f>IF(SUM('Relação de Rubricas'!A17:A493)=0,"",IF($Q$5="","",1+S34))</f>
        <v/>
      </c>
      <c r="T35" s="43" t="str">
        <f>IF(ISERROR(VLOOKUP(S35,'Relação de Rubricas'!C:F,3,0)),"",VLOOKUP(S35,'Relação de Rubricas'!C:F,3,0))</f>
        <v/>
      </c>
      <c r="U35" s="175" t="str">
        <f>IF(ISERROR(VLOOKUP(S35,'Relação de Rubricas'!C:M,11,0)),"",VLOOKUP(S35,'Relação de Rubricas'!C:M,11,0))</f>
        <v/>
      </c>
    </row>
    <row r="36" spans="2:21" x14ac:dyDescent="0.25">
      <c r="B36" s="21"/>
      <c r="C36" s="46">
        <v>15</v>
      </c>
      <c r="D36" s="29"/>
      <c r="E36" s="183"/>
      <c r="F36" s="30"/>
      <c r="G36" s="141"/>
      <c r="H36" s="46">
        <v>15</v>
      </c>
      <c r="I36" s="29"/>
      <c r="J36" s="183"/>
      <c r="K36" s="30"/>
      <c r="L36" s="65"/>
      <c r="M36"/>
      <c r="N36" s="26"/>
      <c r="Q36" s="180"/>
      <c r="R36" s="4"/>
      <c r="S36" s="42" t="str">
        <f>IF(SUM('Relação de Rubricas'!A18:A494)=0,"",IF($Q$5="","",1+S35))</f>
        <v/>
      </c>
      <c r="T36" s="43" t="str">
        <f>IF(ISERROR(VLOOKUP(S36,'Relação de Rubricas'!C:F,3,0)),"",VLOOKUP(S36,'Relação de Rubricas'!C:F,3,0))</f>
        <v/>
      </c>
      <c r="U36" s="175" t="str">
        <f>IF(ISERROR(VLOOKUP(S36,'Relação de Rubricas'!C:M,11,0)),"",VLOOKUP(S36,'Relação de Rubricas'!C:M,11,0))</f>
        <v/>
      </c>
    </row>
    <row r="37" spans="2:21" x14ac:dyDescent="0.25">
      <c r="B37" s="21"/>
      <c r="C37" s="46">
        <v>16</v>
      </c>
      <c r="D37" s="29"/>
      <c r="E37" s="183"/>
      <c r="F37" s="30"/>
      <c r="G37" s="141"/>
      <c r="H37" s="46">
        <v>16</v>
      </c>
      <c r="I37" s="29"/>
      <c r="J37" s="183"/>
      <c r="K37" s="30"/>
      <c r="L37" s="65"/>
      <c r="M37"/>
      <c r="N37" s="26"/>
      <c r="Q37" s="180"/>
      <c r="R37" s="4"/>
      <c r="S37" s="42" t="str">
        <f>IF(SUM('Relação de Rubricas'!A19:A495)=0,"",IF($Q$5="","",1+S36))</f>
        <v/>
      </c>
      <c r="T37" s="43" t="str">
        <f>IF(ISERROR(VLOOKUP(S37,'Relação de Rubricas'!C:F,3,0)),"",VLOOKUP(S37,'Relação de Rubricas'!C:F,3,0))</f>
        <v/>
      </c>
      <c r="U37" s="175" t="str">
        <f>IF(ISERROR(VLOOKUP(S37,'Relação de Rubricas'!C:M,11,0)),"",VLOOKUP(S37,'Relação de Rubricas'!C:M,11,0))</f>
        <v/>
      </c>
    </row>
    <row r="38" spans="2:21" x14ac:dyDescent="0.25">
      <c r="B38" s="21"/>
      <c r="C38" s="46">
        <v>17</v>
      </c>
      <c r="D38" s="29"/>
      <c r="E38" s="183"/>
      <c r="F38" s="30"/>
      <c r="G38" s="141"/>
      <c r="H38" s="46">
        <v>17</v>
      </c>
      <c r="I38" s="29"/>
      <c r="J38" s="183"/>
      <c r="K38" s="30"/>
      <c r="L38" s="65"/>
      <c r="M38"/>
      <c r="N38" s="26"/>
      <c r="Q38" s="180"/>
      <c r="R38" s="4"/>
      <c r="S38" s="42" t="str">
        <f>IF(SUM('Relação de Rubricas'!A20:A496)=0,"",IF($Q$5="","",1+S37))</f>
        <v/>
      </c>
      <c r="T38" s="43" t="str">
        <f>IF(ISERROR(VLOOKUP(S38,'Relação de Rubricas'!C:F,3,0)),"",VLOOKUP(S38,'Relação de Rubricas'!C:F,3,0))</f>
        <v/>
      </c>
      <c r="U38" s="175" t="str">
        <f>IF(ISERROR(VLOOKUP(S38,'Relação de Rubricas'!C:M,11,0)),"",VLOOKUP(S38,'Relação de Rubricas'!C:M,11,0))</f>
        <v/>
      </c>
    </row>
    <row r="39" spans="2:21" x14ac:dyDescent="0.25">
      <c r="B39" s="21"/>
      <c r="C39" s="46">
        <v>18</v>
      </c>
      <c r="D39" s="29"/>
      <c r="E39" s="183"/>
      <c r="F39" s="30"/>
      <c r="G39" s="141"/>
      <c r="H39" s="46">
        <v>18</v>
      </c>
      <c r="I39" s="29"/>
      <c r="J39" s="183"/>
      <c r="K39" s="30"/>
      <c r="L39" s="65"/>
      <c r="M39"/>
      <c r="N39" s="26"/>
      <c r="Q39" s="180"/>
      <c r="R39" s="4"/>
      <c r="S39" s="42" t="str">
        <f>IF(SUM('Relação de Rubricas'!A21:A497)=0,"",IF($Q$5="","",1+S38))</f>
        <v/>
      </c>
      <c r="T39" s="43" t="str">
        <f>IF(ISERROR(VLOOKUP(S39,'Relação de Rubricas'!C:F,3,0)),"",VLOOKUP(S39,'Relação de Rubricas'!C:F,3,0))</f>
        <v/>
      </c>
      <c r="U39" s="175" t="str">
        <f>IF(ISERROR(VLOOKUP(S39,'Relação de Rubricas'!C:M,11,0)),"",VLOOKUP(S39,'Relação de Rubricas'!C:M,11,0))</f>
        <v/>
      </c>
    </row>
    <row r="40" spans="2:21" x14ac:dyDescent="0.25">
      <c r="B40" s="21"/>
      <c r="C40" s="46">
        <v>19</v>
      </c>
      <c r="D40" s="29"/>
      <c r="E40" s="183"/>
      <c r="F40" s="30"/>
      <c r="G40" s="141"/>
      <c r="H40" s="46">
        <v>19</v>
      </c>
      <c r="I40" s="29"/>
      <c r="J40" s="183"/>
      <c r="K40" s="30"/>
      <c r="L40" s="65"/>
      <c r="M40"/>
      <c r="N40" s="26"/>
      <c r="Q40" s="180"/>
      <c r="R40" s="4"/>
      <c r="S40" s="42" t="str">
        <f>IF(SUM('Relação de Rubricas'!A22:A498)=0,"",IF($Q$5="","",1+S39))</f>
        <v/>
      </c>
      <c r="T40" s="43" t="str">
        <f>IF(ISERROR(VLOOKUP(S40,'Relação de Rubricas'!C:F,3,0)),"",VLOOKUP(S40,'Relação de Rubricas'!C:F,3,0))</f>
        <v/>
      </c>
      <c r="U40" s="175" t="str">
        <f>IF(ISERROR(VLOOKUP(S40,'Relação de Rubricas'!C:M,11,0)),"",VLOOKUP(S40,'Relação de Rubricas'!C:M,11,0))</f>
        <v/>
      </c>
    </row>
    <row r="41" spans="2:21" x14ac:dyDescent="0.25">
      <c r="B41" s="23"/>
      <c r="C41" s="46">
        <v>20</v>
      </c>
      <c r="D41" s="29"/>
      <c r="E41" s="183"/>
      <c r="F41" s="30"/>
      <c r="G41" s="142"/>
      <c r="H41" s="46">
        <v>20</v>
      </c>
      <c r="I41" s="29"/>
      <c r="J41" s="183"/>
      <c r="K41" s="30"/>
      <c r="L41" s="65"/>
      <c r="M41"/>
      <c r="N41" s="26"/>
      <c r="Q41" s="180"/>
      <c r="R41" s="4"/>
      <c r="S41" s="42" t="str">
        <f>IF(SUM('Relação de Rubricas'!A23:A499)=0,"",IF($Q$5="","",1+S40))</f>
        <v/>
      </c>
      <c r="T41" s="43" t="str">
        <f>IF(ISERROR(VLOOKUP(S41,'Relação de Rubricas'!C:F,3,0)),"",VLOOKUP(S41,'Relação de Rubricas'!C:F,3,0))</f>
        <v/>
      </c>
      <c r="U41" s="175" t="str">
        <f>IF(ISERROR(VLOOKUP(S41,'Relação de Rubricas'!C:M,11,0)),"",VLOOKUP(S41,'Relação de Rubricas'!C:M,11,0))</f>
        <v/>
      </c>
    </row>
    <row r="42" spans="2:21" x14ac:dyDescent="0.25">
      <c r="B42" s="23"/>
      <c r="C42" s="46">
        <v>21</v>
      </c>
      <c r="D42" s="29"/>
      <c r="E42" s="183"/>
      <c r="F42" s="30"/>
      <c r="G42" s="142"/>
      <c r="H42" s="46">
        <v>21</v>
      </c>
      <c r="I42" s="29"/>
      <c r="J42" s="183"/>
      <c r="K42" s="30"/>
      <c r="L42" s="65"/>
      <c r="M42"/>
      <c r="N42" s="26"/>
      <c r="Q42" s="4"/>
      <c r="R42" s="4"/>
      <c r="S42" s="42" t="str">
        <f>IF(SUM('Relação de Rubricas'!A24:A500)=0,"",IF($Q$5="","",1+S41))</f>
        <v/>
      </c>
      <c r="T42" s="43" t="str">
        <f>IF(ISERROR(VLOOKUP(S42,'Relação de Rubricas'!C:F,3,0)),"",VLOOKUP(S42,'Relação de Rubricas'!C:F,3,0))</f>
        <v/>
      </c>
      <c r="U42" s="175" t="str">
        <f>IF(ISERROR(VLOOKUP(S42,'Relação de Rubricas'!C:M,11,0)),"",VLOOKUP(S42,'Relação de Rubricas'!C:M,11,0))</f>
        <v/>
      </c>
    </row>
    <row r="43" spans="2:21" x14ac:dyDescent="0.25">
      <c r="B43" s="23"/>
      <c r="C43" s="46">
        <v>22</v>
      </c>
      <c r="D43" s="29"/>
      <c r="E43" s="183"/>
      <c r="F43" s="30"/>
      <c r="G43" s="142"/>
      <c r="H43" s="46">
        <v>22</v>
      </c>
      <c r="I43" s="29"/>
      <c r="J43" s="183"/>
      <c r="K43" s="30"/>
      <c r="L43" s="65"/>
      <c r="M43"/>
      <c r="N43" s="26"/>
      <c r="Q43" s="4"/>
      <c r="R43" s="4"/>
      <c r="S43" s="42" t="str">
        <f>IF(SUM('Relação de Rubricas'!A25:A501)=0,"",IF($Q$5="","",1+S42))</f>
        <v/>
      </c>
      <c r="T43" s="43" t="str">
        <f>IF(ISERROR(VLOOKUP(S43,'Relação de Rubricas'!C:F,3,0)),"",VLOOKUP(S43,'Relação de Rubricas'!C:F,3,0))</f>
        <v/>
      </c>
      <c r="U43" s="175" t="str">
        <f>IF(ISERROR(VLOOKUP(S43,'Relação de Rubricas'!C:M,11,0)),"",VLOOKUP(S43,'Relação de Rubricas'!C:M,11,0))</f>
        <v/>
      </c>
    </row>
    <row r="44" spans="2:21" x14ac:dyDescent="0.25">
      <c r="B44" s="23"/>
      <c r="C44" s="46">
        <v>23</v>
      </c>
      <c r="D44" s="29"/>
      <c r="E44" s="183"/>
      <c r="F44" s="30"/>
      <c r="G44" s="142"/>
      <c r="H44" s="46">
        <v>23</v>
      </c>
      <c r="I44" s="29"/>
      <c r="J44" s="183"/>
      <c r="K44" s="30"/>
      <c r="L44" s="65"/>
      <c r="M44"/>
      <c r="N44" s="26"/>
      <c r="Q44" s="4"/>
      <c r="R44" s="4"/>
      <c r="S44" s="42" t="str">
        <f>IF(SUM('Relação de Rubricas'!A26:A502)=0,"",IF($Q$5="","",1+S43))</f>
        <v/>
      </c>
      <c r="T44" s="43" t="str">
        <f>IF(ISERROR(VLOOKUP(S44,'Relação de Rubricas'!C:F,3,0)),"",VLOOKUP(S44,'Relação de Rubricas'!C:F,3,0))</f>
        <v/>
      </c>
      <c r="U44" s="175" t="str">
        <f>IF(ISERROR(VLOOKUP(S44,'Relação de Rubricas'!C:M,11,0)),"",VLOOKUP(S44,'Relação de Rubricas'!C:M,11,0))</f>
        <v/>
      </c>
    </row>
    <row r="45" spans="2:21" x14ac:dyDescent="0.25">
      <c r="B45" s="23"/>
      <c r="C45" s="46">
        <v>24</v>
      </c>
      <c r="D45" s="29"/>
      <c r="E45" s="183"/>
      <c r="F45" s="30"/>
      <c r="G45" s="142"/>
      <c r="H45" s="46">
        <v>24</v>
      </c>
      <c r="I45" s="29"/>
      <c r="J45" s="183"/>
      <c r="K45" s="30"/>
      <c r="L45" s="65"/>
      <c r="M45"/>
      <c r="N45" s="26"/>
      <c r="Q45" s="4"/>
      <c r="R45" s="4"/>
      <c r="S45" s="42" t="str">
        <f>IF(SUM('Relação de Rubricas'!A27:A503)=0,"",IF($Q$5="","",1+S44))</f>
        <v/>
      </c>
      <c r="T45" s="43" t="str">
        <f>IF(ISERROR(VLOOKUP(S45,'Relação de Rubricas'!C:F,3,0)),"",VLOOKUP(S45,'Relação de Rubricas'!C:F,3,0))</f>
        <v/>
      </c>
      <c r="U45" s="175" t="str">
        <f>IF(ISERROR(VLOOKUP(S45,'Relação de Rubricas'!C:M,11,0)),"",VLOOKUP(S45,'Relação de Rubricas'!C:M,11,0))</f>
        <v/>
      </c>
    </row>
    <row r="46" spans="2:21" x14ac:dyDescent="0.25">
      <c r="B46" s="23"/>
      <c r="C46" s="46">
        <v>25</v>
      </c>
      <c r="D46" s="29"/>
      <c r="E46" s="183"/>
      <c r="F46" s="30"/>
      <c r="G46" s="142"/>
      <c r="H46" s="46">
        <v>25</v>
      </c>
      <c r="I46" s="29"/>
      <c r="J46" s="183"/>
      <c r="K46" s="30"/>
      <c r="L46" s="65"/>
      <c r="M46"/>
      <c r="N46" s="26"/>
      <c r="Q46" s="4"/>
      <c r="R46" s="4"/>
      <c r="S46" s="42" t="str">
        <f>IF(SUM('Relação de Rubricas'!A28:A504)=0,"",IF($Q$5="","",1+S45))</f>
        <v/>
      </c>
      <c r="T46" s="43" t="str">
        <f>IF(ISERROR(VLOOKUP(S46,'Relação de Rubricas'!C:F,3,0)),"",VLOOKUP(S46,'Relação de Rubricas'!C:F,3,0))</f>
        <v/>
      </c>
      <c r="U46" s="175" t="str">
        <f>IF(ISERROR(VLOOKUP(S46,'Relação de Rubricas'!C:M,11,0)),"",VLOOKUP(S46,'Relação de Rubricas'!C:M,11,0))</f>
        <v/>
      </c>
    </row>
    <row r="47" spans="2:21" x14ac:dyDescent="0.25">
      <c r="B47" s="23"/>
      <c r="C47" s="46">
        <v>26</v>
      </c>
      <c r="D47" s="29"/>
      <c r="E47" s="183"/>
      <c r="F47" s="30"/>
      <c r="G47" s="143"/>
      <c r="H47" s="46">
        <v>26</v>
      </c>
      <c r="I47" s="29"/>
      <c r="J47" s="183"/>
      <c r="K47" s="30"/>
      <c r="L47" s="65"/>
      <c r="M47"/>
      <c r="N47" s="26"/>
      <c r="Q47" s="4"/>
      <c r="R47" s="4"/>
      <c r="S47" s="42" t="str">
        <f>IF(SUM('Relação de Rubricas'!A29:A505)=0,"",IF($Q$5="","",1+S46))</f>
        <v/>
      </c>
      <c r="T47" s="43" t="str">
        <f>IF(ISERROR(VLOOKUP(S47,'Relação de Rubricas'!C:F,3,0)),"",VLOOKUP(S47,'Relação de Rubricas'!C:F,3,0))</f>
        <v/>
      </c>
      <c r="U47" s="175" t="str">
        <f>IF(ISERROR(VLOOKUP(S47,'Relação de Rubricas'!C:M,11,0)),"",VLOOKUP(S47,'Relação de Rubricas'!C:M,11,0))</f>
        <v/>
      </c>
    </row>
    <row r="48" spans="2:21" x14ac:dyDescent="0.25">
      <c r="B48" s="23"/>
      <c r="C48" s="46">
        <v>27</v>
      </c>
      <c r="D48" s="29"/>
      <c r="E48" s="183"/>
      <c r="F48" s="30"/>
      <c r="G48" s="143"/>
      <c r="H48" s="46">
        <v>27</v>
      </c>
      <c r="I48" s="29"/>
      <c r="J48" s="183"/>
      <c r="K48" s="30"/>
      <c r="L48" s="65"/>
      <c r="M48"/>
      <c r="N48" s="26"/>
      <c r="Q48" s="4"/>
      <c r="R48" s="4"/>
      <c r="S48" s="42" t="str">
        <f>IF(SUM('Relação de Rubricas'!A30:A506)=0,"",IF($Q$5="","",1+S47))</f>
        <v/>
      </c>
      <c r="T48" s="43" t="str">
        <f>IF(ISERROR(VLOOKUP(S48,'Relação de Rubricas'!C:F,3,0)),"",VLOOKUP(S48,'Relação de Rubricas'!C:F,3,0))</f>
        <v/>
      </c>
      <c r="U48" s="175" t="str">
        <f>IF(ISERROR(VLOOKUP(S48,'Relação de Rubricas'!C:M,11,0)),"",VLOOKUP(S48,'Relação de Rubricas'!C:M,11,0))</f>
        <v/>
      </c>
    </row>
    <row r="49" spans="2:21" x14ac:dyDescent="0.25">
      <c r="B49" s="23"/>
      <c r="C49" s="46">
        <v>28</v>
      </c>
      <c r="D49" s="29"/>
      <c r="E49" s="183"/>
      <c r="F49" s="30"/>
      <c r="G49" s="143"/>
      <c r="H49" s="46">
        <v>28</v>
      </c>
      <c r="I49" s="29"/>
      <c r="J49" s="183"/>
      <c r="K49" s="30"/>
      <c r="L49" s="65"/>
      <c r="M49"/>
      <c r="N49" s="26"/>
      <c r="Q49" s="4"/>
      <c r="R49" s="4"/>
      <c r="S49" s="42" t="str">
        <f>IF(SUM('Relação de Rubricas'!A31:A507)=0,"",IF($Q$5="","",1+S48))</f>
        <v/>
      </c>
      <c r="T49" s="43" t="str">
        <f>IF(ISERROR(VLOOKUP(S49,'Relação de Rubricas'!C:F,3,0)),"",VLOOKUP(S49,'Relação de Rubricas'!C:F,3,0))</f>
        <v/>
      </c>
      <c r="U49" s="175" t="str">
        <f>IF(ISERROR(VLOOKUP(S49,'Relação de Rubricas'!C:M,11,0)),"",VLOOKUP(S49,'Relação de Rubricas'!C:M,11,0))</f>
        <v/>
      </c>
    </row>
    <row r="50" spans="2:21" x14ac:dyDescent="0.25">
      <c r="B50" s="23"/>
      <c r="C50" s="46">
        <v>29</v>
      </c>
      <c r="D50" s="29"/>
      <c r="E50" s="183"/>
      <c r="F50" s="30"/>
      <c r="G50" s="143"/>
      <c r="H50" s="46">
        <v>29</v>
      </c>
      <c r="I50" s="29"/>
      <c r="J50" s="183"/>
      <c r="K50" s="30"/>
      <c r="L50" s="65"/>
      <c r="M50"/>
      <c r="N50" s="26"/>
      <c r="Q50" s="4"/>
      <c r="R50" s="4"/>
      <c r="S50" s="42" t="str">
        <f>IF(SUM('Relação de Rubricas'!A32:A508)=0,"",IF($Q$5="","",1+S49))</f>
        <v/>
      </c>
      <c r="T50" s="43" t="str">
        <f>IF(ISERROR(VLOOKUP(S50,'Relação de Rubricas'!C:F,3,0)),"",VLOOKUP(S50,'Relação de Rubricas'!C:F,3,0))</f>
        <v/>
      </c>
      <c r="U50" s="175" t="str">
        <f>IF(ISERROR(VLOOKUP(S50,'Relação de Rubricas'!C:M,11,0)),"",VLOOKUP(S50,'Relação de Rubricas'!C:M,11,0))</f>
        <v/>
      </c>
    </row>
    <row r="51" spans="2:21" x14ac:dyDescent="0.25">
      <c r="B51" s="23"/>
      <c r="C51" s="46">
        <v>30</v>
      </c>
      <c r="D51" s="29"/>
      <c r="E51" s="183"/>
      <c r="F51" s="30"/>
      <c r="G51" s="143"/>
      <c r="H51" s="46">
        <v>30</v>
      </c>
      <c r="I51" s="29"/>
      <c r="J51" s="183"/>
      <c r="K51" s="30"/>
      <c r="L51" s="65"/>
      <c r="M51"/>
      <c r="N51" s="26"/>
      <c r="Q51" s="4"/>
      <c r="R51" s="4"/>
      <c r="S51" s="42" t="str">
        <f>IF(SUM('Relação de Rubricas'!A33:A509)=0,"",IF($Q$5="","",1+S50))</f>
        <v/>
      </c>
      <c r="T51" s="43" t="str">
        <f>IF(ISERROR(VLOOKUP(S51,'Relação de Rubricas'!C:F,3,0)),"",VLOOKUP(S51,'Relação de Rubricas'!C:F,3,0))</f>
        <v/>
      </c>
      <c r="U51" s="175" t="str">
        <f>IF(ISERROR(VLOOKUP(S51,'Relação de Rubricas'!C:M,11,0)),"",VLOOKUP(S51,'Relação de Rubricas'!C:M,11,0))</f>
        <v/>
      </c>
    </row>
    <row r="52" spans="2:21" x14ac:dyDescent="0.25">
      <c r="B52" s="23"/>
      <c r="C52" s="46">
        <v>31</v>
      </c>
      <c r="D52" s="29"/>
      <c r="E52" s="183"/>
      <c r="F52" s="30"/>
      <c r="G52" s="143"/>
      <c r="H52" s="46">
        <v>31</v>
      </c>
      <c r="I52" s="29"/>
      <c r="J52" s="183"/>
      <c r="K52" s="30"/>
      <c r="L52" s="65"/>
      <c r="M52"/>
      <c r="N52" s="26"/>
      <c r="Q52" s="4"/>
      <c r="R52" s="4"/>
      <c r="S52" s="42" t="str">
        <f>IF(SUM('Relação de Rubricas'!A34:A510)=0,"",IF($Q$5="","",1+S51))</f>
        <v/>
      </c>
      <c r="T52" s="43" t="str">
        <f>IF(ISERROR(VLOOKUP(S52,'Relação de Rubricas'!C:F,3,0)),"",VLOOKUP(S52,'Relação de Rubricas'!C:F,3,0))</f>
        <v/>
      </c>
      <c r="U52" s="175" t="str">
        <f>IF(ISERROR(VLOOKUP(S52,'Relação de Rubricas'!C:M,11,0)),"",VLOOKUP(S52,'Relação de Rubricas'!C:M,11,0))</f>
        <v/>
      </c>
    </row>
    <row r="53" spans="2:21" x14ac:dyDescent="0.25">
      <c r="B53" s="23"/>
      <c r="C53" s="46">
        <v>32</v>
      </c>
      <c r="D53" s="29"/>
      <c r="E53" s="183"/>
      <c r="F53" s="30"/>
      <c r="G53" s="143"/>
      <c r="H53" s="46">
        <v>32</v>
      </c>
      <c r="I53" s="29"/>
      <c r="J53" s="183"/>
      <c r="K53" s="30"/>
      <c r="L53" s="65"/>
      <c r="M53"/>
      <c r="N53" s="26"/>
      <c r="Q53" s="4"/>
      <c r="R53" s="4"/>
      <c r="S53" s="42" t="str">
        <f>IF(SUM('Relação de Rubricas'!A35:A511)=0,"",IF($Q$5="","",1+S52))</f>
        <v/>
      </c>
      <c r="T53" s="43" t="str">
        <f>IF(ISERROR(VLOOKUP(S53,'Relação de Rubricas'!C:F,3,0)),"",VLOOKUP(S53,'Relação de Rubricas'!C:F,3,0))</f>
        <v/>
      </c>
      <c r="U53" s="175" t="str">
        <f>IF(ISERROR(VLOOKUP(S53,'Relação de Rubricas'!C:M,11,0)),"",VLOOKUP(S53,'Relação de Rubricas'!C:M,11,0))</f>
        <v/>
      </c>
    </row>
    <row r="54" spans="2:21" x14ac:dyDescent="0.25">
      <c r="B54" s="23"/>
      <c r="C54" s="46">
        <v>33</v>
      </c>
      <c r="D54" s="29"/>
      <c r="E54" s="183"/>
      <c r="F54" s="30"/>
      <c r="G54" s="143"/>
      <c r="H54" s="46">
        <v>33</v>
      </c>
      <c r="I54" s="29"/>
      <c r="J54" s="183"/>
      <c r="K54" s="30"/>
      <c r="L54" s="65"/>
      <c r="M54"/>
      <c r="N54" s="26"/>
      <c r="Q54" s="4"/>
      <c r="R54" s="4"/>
      <c r="S54" s="42" t="str">
        <f>IF(SUM('Relação de Rubricas'!A36:A512)=0,"",IF($Q$5="","",1+S53))</f>
        <v/>
      </c>
      <c r="T54" s="43" t="str">
        <f>IF(ISERROR(VLOOKUP(S54,'Relação de Rubricas'!C:F,3,0)),"",VLOOKUP(S54,'Relação de Rubricas'!C:F,3,0))</f>
        <v/>
      </c>
      <c r="U54" s="175" t="str">
        <f>IF(ISERROR(VLOOKUP(S54,'Relação de Rubricas'!C:M,11,0)),"",VLOOKUP(S54,'Relação de Rubricas'!C:M,11,0))</f>
        <v/>
      </c>
    </row>
    <row r="55" spans="2:21" x14ac:dyDescent="0.25">
      <c r="B55" s="23"/>
      <c r="C55" s="46">
        <v>34</v>
      </c>
      <c r="D55" s="29"/>
      <c r="E55" s="183"/>
      <c r="F55" s="30"/>
      <c r="G55" s="143"/>
      <c r="H55" s="46">
        <v>34</v>
      </c>
      <c r="I55" s="29"/>
      <c r="J55" s="183"/>
      <c r="K55" s="30"/>
      <c r="L55" s="65"/>
      <c r="M55"/>
      <c r="N55" s="26"/>
      <c r="Q55" s="4"/>
      <c r="R55" s="4"/>
      <c r="S55" s="42" t="str">
        <f>IF(SUM('Relação de Rubricas'!A37:A513)=0,"",IF($Q$5="","",1+S54))</f>
        <v/>
      </c>
      <c r="T55" s="43" t="str">
        <f>IF(ISERROR(VLOOKUP(S55,'Relação de Rubricas'!C:F,3,0)),"",VLOOKUP(S55,'Relação de Rubricas'!C:F,3,0))</f>
        <v/>
      </c>
      <c r="U55" s="175" t="str">
        <f>IF(ISERROR(VLOOKUP(S55,'Relação de Rubricas'!C:M,11,0)),"",VLOOKUP(S55,'Relação de Rubricas'!C:M,11,0))</f>
        <v/>
      </c>
    </row>
    <row r="56" spans="2:21" x14ac:dyDescent="0.25">
      <c r="B56" s="23"/>
      <c r="C56" s="46">
        <v>35</v>
      </c>
      <c r="D56" s="29"/>
      <c r="E56" s="183"/>
      <c r="F56" s="30"/>
      <c r="G56" s="143"/>
      <c r="H56" s="46">
        <v>35</v>
      </c>
      <c r="I56" s="29"/>
      <c r="J56" s="183"/>
      <c r="K56" s="30"/>
      <c r="L56" s="65"/>
      <c r="M56"/>
      <c r="N56" s="26"/>
      <c r="Q56" s="4"/>
      <c r="R56" s="4"/>
      <c r="S56" s="42" t="str">
        <f>IF(SUM('Relação de Rubricas'!A38:A514)=0,"",IF($Q$5="","",1+S55))</f>
        <v/>
      </c>
      <c r="T56" s="43" t="str">
        <f>IF(ISERROR(VLOOKUP(S56,'Relação de Rubricas'!C:F,3,0)),"",VLOOKUP(S56,'Relação de Rubricas'!C:F,3,0))</f>
        <v/>
      </c>
      <c r="U56" s="175" t="str">
        <f>IF(ISERROR(VLOOKUP(S56,'Relação de Rubricas'!C:M,11,0)),"",VLOOKUP(S56,'Relação de Rubricas'!C:M,11,0))</f>
        <v/>
      </c>
    </row>
    <row r="57" spans="2:21" x14ac:dyDescent="0.25">
      <c r="B57" s="23"/>
      <c r="C57" s="46">
        <v>36</v>
      </c>
      <c r="D57" s="29"/>
      <c r="E57" s="183"/>
      <c r="F57" s="30"/>
      <c r="G57" s="143"/>
      <c r="H57" s="46">
        <v>36</v>
      </c>
      <c r="I57" s="29"/>
      <c r="J57" s="183"/>
      <c r="K57" s="30"/>
      <c r="L57" s="65"/>
      <c r="M57"/>
      <c r="N57" s="26"/>
      <c r="Q57" s="4"/>
      <c r="R57" s="4"/>
      <c r="S57" s="42" t="str">
        <f>IF(SUM('Relação de Rubricas'!A39:A515)=0,"",IF($Q$5="","",1+S56))</f>
        <v/>
      </c>
      <c r="T57" s="43" t="str">
        <f>IF(ISERROR(VLOOKUP(S57,'Relação de Rubricas'!C:F,3,0)),"",VLOOKUP(S57,'Relação de Rubricas'!C:F,3,0))</f>
        <v/>
      </c>
      <c r="U57" s="175" t="str">
        <f>IF(ISERROR(VLOOKUP(S57,'Relação de Rubricas'!C:M,11,0)),"",VLOOKUP(S57,'Relação de Rubricas'!C:M,11,0))</f>
        <v/>
      </c>
    </row>
    <row r="58" spans="2:21" x14ac:dyDescent="0.25">
      <c r="B58" s="23"/>
      <c r="C58" s="46">
        <v>37</v>
      </c>
      <c r="D58" s="29"/>
      <c r="E58" s="183"/>
      <c r="F58" s="30"/>
      <c r="G58" s="143"/>
      <c r="H58" s="46">
        <v>37</v>
      </c>
      <c r="I58" s="29"/>
      <c r="J58" s="183"/>
      <c r="K58" s="30"/>
      <c r="L58" s="65"/>
      <c r="M58"/>
      <c r="N58" s="26"/>
      <c r="Q58" s="4"/>
      <c r="R58" s="4"/>
      <c r="S58" s="42" t="str">
        <f>IF(SUM('Relação de Rubricas'!A40:A516)=0,"",IF($Q$5="","",1+S57))</f>
        <v/>
      </c>
      <c r="T58" s="43" t="str">
        <f>IF(ISERROR(VLOOKUP(S58,'Relação de Rubricas'!C:F,3,0)),"",VLOOKUP(S58,'Relação de Rubricas'!C:F,3,0))</f>
        <v/>
      </c>
      <c r="U58" s="175" t="str">
        <f>IF(ISERROR(VLOOKUP(S58,'Relação de Rubricas'!C:M,11,0)),"",VLOOKUP(S58,'Relação de Rubricas'!C:M,11,0))</f>
        <v/>
      </c>
    </row>
    <row r="59" spans="2:21" x14ac:dyDescent="0.25">
      <c r="B59" s="23"/>
      <c r="C59" s="46">
        <v>38</v>
      </c>
      <c r="D59" s="29"/>
      <c r="E59" s="183"/>
      <c r="F59" s="30"/>
      <c r="G59" s="143"/>
      <c r="H59" s="46">
        <v>38</v>
      </c>
      <c r="I59" s="29"/>
      <c r="J59" s="183"/>
      <c r="K59" s="30"/>
      <c r="L59" s="65"/>
      <c r="M59"/>
      <c r="N59" s="26"/>
      <c r="Q59" s="4"/>
      <c r="R59" s="4"/>
      <c r="S59" s="42" t="str">
        <f>IF(SUM('Relação de Rubricas'!A41:A517)=0,"",IF($Q$5="","",1+S58))</f>
        <v/>
      </c>
      <c r="T59" s="43" t="str">
        <f>IF(ISERROR(VLOOKUP(S59,'Relação de Rubricas'!C:F,3,0)),"",VLOOKUP(S59,'Relação de Rubricas'!C:F,3,0))</f>
        <v/>
      </c>
      <c r="U59" s="175" t="str">
        <f>IF(ISERROR(VLOOKUP(S59,'Relação de Rubricas'!C:M,11,0)),"",VLOOKUP(S59,'Relação de Rubricas'!C:M,11,0))</f>
        <v/>
      </c>
    </row>
    <row r="60" spans="2:21" x14ac:dyDescent="0.25">
      <c r="B60" s="23"/>
      <c r="C60" s="46">
        <v>39</v>
      </c>
      <c r="D60" s="29"/>
      <c r="E60" s="183"/>
      <c r="F60" s="30"/>
      <c r="G60" s="143"/>
      <c r="H60" s="46">
        <v>39</v>
      </c>
      <c r="I60" s="29"/>
      <c r="J60" s="183"/>
      <c r="K60" s="30"/>
      <c r="L60" s="65"/>
      <c r="M60"/>
      <c r="N60" s="26"/>
      <c r="Q60" s="4"/>
      <c r="R60" s="4"/>
      <c r="S60" s="42" t="str">
        <f>IF(SUM('Relação de Rubricas'!A42:A518)=0,"",IF($Q$5="","",1+S59))</f>
        <v/>
      </c>
      <c r="T60" s="43" t="str">
        <f>IF(ISERROR(VLOOKUP(S60,'Relação de Rubricas'!C:F,3,0)),"",VLOOKUP(S60,'Relação de Rubricas'!C:F,3,0))</f>
        <v/>
      </c>
      <c r="U60" s="175" t="str">
        <f>IF(ISERROR(VLOOKUP(S60,'Relação de Rubricas'!C:M,11,0)),"",VLOOKUP(S60,'Relação de Rubricas'!C:M,11,0))</f>
        <v/>
      </c>
    </row>
    <row r="61" spans="2:21" x14ac:dyDescent="0.25">
      <c r="B61" s="23"/>
      <c r="C61" s="46">
        <v>40</v>
      </c>
      <c r="D61" s="29"/>
      <c r="E61" s="183"/>
      <c r="F61" s="30"/>
      <c r="G61" s="143"/>
      <c r="H61" s="46">
        <v>40</v>
      </c>
      <c r="I61" s="29"/>
      <c r="J61" s="183"/>
      <c r="K61" s="30"/>
      <c r="L61" s="65"/>
      <c r="M61"/>
      <c r="N61" s="26"/>
      <c r="Q61" s="4"/>
      <c r="R61" s="4"/>
      <c r="S61" s="42" t="str">
        <f>IF(SUM('Relação de Rubricas'!A43:A519)=0,"",IF($Q$5="","",1+S60))</f>
        <v/>
      </c>
      <c r="T61" s="43" t="str">
        <f>IF(ISERROR(VLOOKUP(S61,'Relação de Rubricas'!C:F,3,0)),"",VLOOKUP(S61,'Relação de Rubricas'!C:F,3,0))</f>
        <v/>
      </c>
      <c r="U61" s="175" t="str">
        <f>IF(ISERROR(VLOOKUP(S61,'Relação de Rubricas'!C:M,11,0)),"",VLOOKUP(S61,'Relação de Rubricas'!C:M,11,0))</f>
        <v/>
      </c>
    </row>
    <row r="62" spans="2:21" x14ac:dyDescent="0.25">
      <c r="B62" s="23"/>
      <c r="C62" s="48"/>
      <c r="D62" s="25"/>
      <c r="E62" s="25"/>
      <c r="F62" s="25"/>
      <c r="G62" s="142"/>
      <c r="H62" s="48"/>
      <c r="I62" s="66"/>
      <c r="J62" s="66"/>
      <c r="K62" s="66"/>
      <c r="L62" s="63"/>
      <c r="M62"/>
      <c r="N62" s="26"/>
      <c r="Q62" s="4"/>
      <c r="R62" s="4"/>
      <c r="S62" s="42" t="str">
        <f>IF(SUM('Relação de Rubricas'!A44:A520)=0,"",IF($Q$5="","",1+S61))</f>
        <v/>
      </c>
      <c r="T62" s="43" t="str">
        <f>IF(ISERROR(VLOOKUP(S62,'Relação de Rubricas'!C:F,3,0)),"",VLOOKUP(S62,'Relação de Rubricas'!C:F,3,0))</f>
        <v/>
      </c>
      <c r="U62" s="175" t="str">
        <f>IF(ISERROR(VLOOKUP(S62,'Relação de Rubricas'!C:M,11,0)),"",VLOOKUP(S62,'Relação de Rubricas'!C:M,11,0))</f>
        <v/>
      </c>
    </row>
    <row r="63" spans="2:21" x14ac:dyDescent="0.25">
      <c r="B63" s="23"/>
      <c r="C63" s="211" t="s">
        <v>14</v>
      </c>
      <c r="D63" s="207"/>
      <c r="E63" s="208"/>
      <c r="F63" s="209">
        <f>SUM(F22:F61)</f>
        <v>0</v>
      </c>
      <c r="G63" s="64"/>
      <c r="H63" s="211" t="s">
        <v>15</v>
      </c>
      <c r="I63" s="210"/>
      <c r="J63" s="212"/>
      <c r="K63" s="213">
        <f>SUM(K22:K61)</f>
        <v>0</v>
      </c>
      <c r="L63" s="63"/>
      <c r="M63"/>
      <c r="N63" s="26"/>
      <c r="Q63" s="4"/>
      <c r="R63" s="4"/>
      <c r="S63" s="42" t="str">
        <f>IF(SUM('Relação de Rubricas'!A45:A521)=0,"",IF($Q$5="","",1+S62))</f>
        <v/>
      </c>
      <c r="T63" s="43" t="str">
        <f>IF(ISERROR(VLOOKUP(S63,'Relação de Rubricas'!C:F,3,0)),"",VLOOKUP(S63,'Relação de Rubricas'!C:F,3,0))</f>
        <v/>
      </c>
      <c r="U63" s="175" t="str">
        <f>IF(ISERROR(VLOOKUP(S63,'Relação de Rubricas'!C:M,11,0)),"",VLOOKUP(S63,'Relação de Rubricas'!C:M,11,0))</f>
        <v/>
      </c>
    </row>
    <row r="64" spans="2:21" x14ac:dyDescent="0.25">
      <c r="B64" s="23"/>
      <c r="C64" s="9"/>
      <c r="D64" s="9"/>
      <c r="E64" s="9"/>
      <c r="F64" s="9"/>
      <c r="G64" s="64"/>
      <c r="H64" s="17"/>
      <c r="I64" s="67"/>
      <c r="J64" s="67"/>
      <c r="K64" s="67"/>
      <c r="L64" s="63"/>
      <c r="N64" s="26"/>
      <c r="Q64" s="4"/>
      <c r="R64" s="4"/>
      <c r="S64" s="42" t="str">
        <f>IF(SUM('Relação de Rubricas'!A46:A522)=0,"",IF($Q$5="","",1+S63))</f>
        <v/>
      </c>
      <c r="T64" s="43" t="str">
        <f>IF(ISERROR(VLOOKUP(S64,'Relação de Rubricas'!C:F,3,0)),"",VLOOKUP(S64,'Relação de Rubricas'!C:F,3,0))</f>
        <v/>
      </c>
      <c r="U64" s="175" t="str">
        <f>IF(ISERROR(VLOOKUP(S64,'Relação de Rubricas'!C:M,11,0)),"",VLOOKUP(S64,'Relação de Rubricas'!C:M,11,0))</f>
        <v/>
      </c>
    </row>
    <row r="65" spans="2:21" x14ac:dyDescent="0.25">
      <c r="B65" s="257" t="s">
        <v>8</v>
      </c>
      <c r="C65" s="260"/>
      <c r="D65" s="261"/>
      <c r="E65" s="261"/>
      <c r="F65" s="261"/>
      <c r="G65" s="261"/>
      <c r="H65" s="261"/>
      <c r="I65" s="261"/>
      <c r="J65" s="261"/>
      <c r="K65" s="262"/>
      <c r="L65" s="63"/>
      <c r="N65" s="26"/>
      <c r="Q65" s="4"/>
      <c r="R65" s="4"/>
      <c r="S65" s="42" t="str">
        <f>IF(SUM('Relação de Rubricas'!A47:A523)=0,"",IF($Q$5="","",1+S64))</f>
        <v/>
      </c>
      <c r="T65" s="43" t="str">
        <f>IF(ISERROR(VLOOKUP(S65,'Relação de Rubricas'!C:F,3,0)),"",VLOOKUP(S65,'Relação de Rubricas'!C:F,3,0))</f>
        <v/>
      </c>
      <c r="U65" s="175" t="str">
        <f>IF(ISERROR(VLOOKUP(S65,'Relação de Rubricas'!C:M,11,0)),"",VLOOKUP(S65,'Relação de Rubricas'!C:M,11,0))</f>
        <v/>
      </c>
    </row>
    <row r="66" spans="2:21" x14ac:dyDescent="0.25">
      <c r="B66" s="257"/>
      <c r="C66" s="263"/>
      <c r="D66" s="264"/>
      <c r="E66" s="264"/>
      <c r="F66" s="264"/>
      <c r="G66" s="264"/>
      <c r="H66" s="264"/>
      <c r="I66" s="264"/>
      <c r="J66" s="264"/>
      <c r="K66" s="265"/>
      <c r="L66" s="63"/>
      <c r="N66" s="26"/>
      <c r="Q66" s="4"/>
      <c r="R66" s="4"/>
      <c r="S66" s="42" t="str">
        <f>IF(SUM('Relação de Rubricas'!A48:A524)=0,"",IF($Q$5="","",1+S65))</f>
        <v/>
      </c>
      <c r="T66" s="43" t="str">
        <f>IF(ISERROR(VLOOKUP(S66,'Relação de Rubricas'!C:F,3,0)),"",VLOOKUP(S66,'Relação de Rubricas'!C:F,3,0))</f>
        <v/>
      </c>
      <c r="U66" s="175" t="str">
        <f>IF(ISERROR(VLOOKUP(S66,'Relação de Rubricas'!C:M,11,0)),"",VLOOKUP(S66,'Relação de Rubricas'!C:M,11,0))</f>
        <v/>
      </c>
    </row>
    <row r="67" spans="2:21" x14ac:dyDescent="0.25">
      <c r="B67" s="257"/>
      <c r="C67" s="263"/>
      <c r="D67" s="264"/>
      <c r="E67" s="264"/>
      <c r="F67" s="264"/>
      <c r="G67" s="264"/>
      <c r="H67" s="264"/>
      <c r="I67" s="264"/>
      <c r="J67" s="264"/>
      <c r="K67" s="265"/>
      <c r="L67" s="63"/>
      <c r="N67" s="26"/>
      <c r="Q67" s="4"/>
      <c r="R67" s="4"/>
      <c r="S67" s="42" t="str">
        <f>IF(SUM('Relação de Rubricas'!A49:A525)=0,"",IF($Q$5="","",1+S66))</f>
        <v/>
      </c>
      <c r="T67" s="43" t="str">
        <f>IF(ISERROR(VLOOKUP(S67,'Relação de Rubricas'!C:F,3,0)),"",VLOOKUP(S67,'Relação de Rubricas'!C:F,3,0))</f>
        <v/>
      </c>
      <c r="U67" s="175" t="str">
        <f>IF(ISERROR(VLOOKUP(S67,'Relação de Rubricas'!C:M,11,0)),"",VLOOKUP(S67,'Relação de Rubricas'!C:M,11,0))</f>
        <v/>
      </c>
    </row>
    <row r="68" spans="2:21" x14ac:dyDescent="0.25">
      <c r="B68" s="257"/>
      <c r="C68" s="263"/>
      <c r="D68" s="264"/>
      <c r="E68" s="264"/>
      <c r="F68" s="264"/>
      <c r="G68" s="264"/>
      <c r="H68" s="264"/>
      <c r="I68" s="264"/>
      <c r="J68" s="264"/>
      <c r="K68" s="265"/>
      <c r="L68" s="63"/>
      <c r="N68" s="26"/>
      <c r="S68" s="42" t="str">
        <f>IF(SUM('Relação de Rubricas'!A50:A526)=0,"",IF($Q$5="","",1+S67))</f>
        <v/>
      </c>
      <c r="T68" s="43" t="str">
        <f>IF(ISERROR(VLOOKUP(S68,'Relação de Rubricas'!C:F,3,0)),"",VLOOKUP(S68,'Relação de Rubricas'!C:F,3,0))</f>
        <v/>
      </c>
      <c r="U68" s="175" t="str">
        <f>IF(ISERROR(VLOOKUP(S68,'Relação de Rubricas'!C:M,11,0)),"",VLOOKUP(S68,'Relação de Rubricas'!C:M,11,0))</f>
        <v/>
      </c>
    </row>
    <row r="69" spans="2:21" x14ac:dyDescent="0.25">
      <c r="B69" s="257"/>
      <c r="C69" s="266"/>
      <c r="D69" s="267"/>
      <c r="E69" s="267"/>
      <c r="F69" s="267"/>
      <c r="G69" s="267"/>
      <c r="H69" s="267"/>
      <c r="I69" s="267"/>
      <c r="J69" s="267"/>
      <c r="K69" s="268"/>
      <c r="L69" s="63"/>
      <c r="N69" s="26"/>
      <c r="S69" s="42" t="str">
        <f>IF(SUM('Relação de Rubricas'!A51:A527)=0,"",IF($Q$5="","",1+S68))</f>
        <v/>
      </c>
      <c r="T69" s="43" t="str">
        <f>IF(ISERROR(VLOOKUP(S69,'Relação de Rubricas'!C:F,3,0)),"",VLOOKUP(S69,'Relação de Rubricas'!C:F,3,0))</f>
        <v/>
      </c>
      <c r="U69" s="175" t="str">
        <f>IF(ISERROR(VLOOKUP(S69,'Relação de Rubricas'!C:M,11,0)),"",VLOOKUP(S69,'Relação de Rubricas'!C:M,11,0))</f>
        <v/>
      </c>
    </row>
    <row r="70" spans="2:21" ht="15.75" thickBot="1" x14ac:dyDescent="0.3">
      <c r="B70" s="24"/>
      <c r="C70" s="27"/>
      <c r="D70" s="27"/>
      <c r="E70" s="27"/>
      <c r="F70" s="27"/>
      <c r="G70" s="68"/>
      <c r="H70" s="27"/>
      <c r="I70" s="68"/>
      <c r="J70" s="68"/>
      <c r="K70" s="181" t="s">
        <v>47</v>
      </c>
      <c r="L70" s="59"/>
      <c r="N70" s="26"/>
      <c r="S70" s="42" t="str">
        <f>IF(SUM('Relação de Rubricas'!A52:A528)=0,"",IF($Q$5="","",1+S69))</f>
        <v/>
      </c>
      <c r="T70" s="43" t="str">
        <f>IF(ISERROR(VLOOKUP(S70,'Relação de Rubricas'!C:F,3,0)),"",VLOOKUP(S70,'Relação de Rubricas'!C:F,3,0))</f>
        <v/>
      </c>
      <c r="U70" s="175" t="str">
        <f>IF(ISERROR(VLOOKUP(S70,'Relação de Rubricas'!C:M,11,0)),"",VLOOKUP(S70,'Relação de Rubricas'!C:M,11,0))</f>
        <v/>
      </c>
    </row>
    <row r="71" spans="2:21" ht="15.75" thickTop="1" x14ac:dyDescent="0.25">
      <c r="S71" s="42" t="str">
        <f>IF(SUM('Relação de Rubricas'!A53:A529)=0,"",IF($Q$5="","",1+S70))</f>
        <v/>
      </c>
      <c r="T71" s="43" t="str">
        <f>IF(ISERROR(VLOOKUP(S71,'Relação de Rubricas'!C:F,3,0)),"",VLOOKUP(S71,'Relação de Rubricas'!C:F,3,0))</f>
        <v/>
      </c>
      <c r="U71" s="175" t="str">
        <f>IF(ISERROR(VLOOKUP(S71,'Relação de Rubricas'!C:M,11,0)),"",VLOOKUP(S71,'Relação de Rubricas'!C:M,11,0))</f>
        <v/>
      </c>
    </row>
    <row r="72" spans="2:21" x14ac:dyDescent="0.25">
      <c r="S72" s="42" t="str">
        <f>IF(SUM('Relação de Rubricas'!A54:A530)=0,"",IF($Q$5="","",1+S71))</f>
        <v/>
      </c>
      <c r="T72" s="43" t="str">
        <f>IF(ISERROR(VLOOKUP(S72,'Relação de Rubricas'!C:F,3,0)),"",VLOOKUP(S72,'Relação de Rubricas'!C:F,3,0))</f>
        <v/>
      </c>
      <c r="U72" s="175" t="str">
        <f>IF(ISERROR(VLOOKUP(S72,'Relação de Rubricas'!C:M,11,0)),"",VLOOKUP(S72,'Relação de Rubricas'!C:M,11,0))</f>
        <v/>
      </c>
    </row>
    <row r="73" spans="2:21" x14ac:dyDescent="0.25">
      <c r="S73" s="42" t="str">
        <f>IF(SUM('Relação de Rubricas'!A55:A531)=0,"",IF($Q$5="","",1+S72))</f>
        <v/>
      </c>
      <c r="T73" s="43" t="str">
        <f>IF(ISERROR(VLOOKUP(S73,'Relação de Rubricas'!C:F,3,0)),"",VLOOKUP(S73,'Relação de Rubricas'!C:F,3,0))</f>
        <v/>
      </c>
      <c r="U73" s="175" t="str">
        <f>IF(ISERROR(VLOOKUP(S73,'Relação de Rubricas'!C:M,11,0)),"",VLOOKUP(S73,'Relação de Rubricas'!C:M,11,0))</f>
        <v/>
      </c>
    </row>
    <row r="74" spans="2:21" x14ac:dyDescent="0.25">
      <c r="S74" s="42" t="str">
        <f>IF(SUM('Relação de Rubricas'!A56:A532)=0,"",IF($Q$5="","",1+S73))</f>
        <v/>
      </c>
      <c r="T74" s="43" t="str">
        <f>IF(ISERROR(VLOOKUP(S74,'Relação de Rubricas'!C:F,3,0)),"",VLOOKUP(S74,'Relação de Rubricas'!C:F,3,0))</f>
        <v/>
      </c>
      <c r="U74" s="175" t="str">
        <f>IF(ISERROR(VLOOKUP(S74,'Relação de Rubricas'!C:M,11,0)),"",VLOOKUP(S74,'Relação de Rubricas'!C:M,11,0))</f>
        <v/>
      </c>
    </row>
    <row r="75" spans="2:21" x14ac:dyDescent="0.25">
      <c r="S75" s="42" t="str">
        <f>IF(SUM('Relação de Rubricas'!A57:A533)=0,"",IF($Q$5="","",1+S74))</f>
        <v/>
      </c>
      <c r="T75" s="43" t="str">
        <f>IF(ISERROR(VLOOKUP(S75,'Relação de Rubricas'!C:F,3,0)),"",VLOOKUP(S75,'Relação de Rubricas'!C:F,3,0))</f>
        <v/>
      </c>
      <c r="U75" s="175" t="str">
        <f>IF(ISERROR(VLOOKUP(S75,'Relação de Rubricas'!C:M,11,0)),"",VLOOKUP(S75,'Relação de Rubricas'!C:M,11,0))</f>
        <v/>
      </c>
    </row>
    <row r="76" spans="2:21" x14ac:dyDescent="0.25">
      <c r="S76" s="42" t="str">
        <f>IF(SUM('Relação de Rubricas'!A58:A534)=0,"",IF($Q$5="","",1+S75))</f>
        <v/>
      </c>
      <c r="T76" s="43" t="str">
        <f>IF(ISERROR(VLOOKUP(S76,'Relação de Rubricas'!C:F,3,0)),"",VLOOKUP(S76,'Relação de Rubricas'!C:F,3,0))</f>
        <v/>
      </c>
      <c r="U76" s="175" t="str">
        <f>IF(ISERROR(VLOOKUP(S76,'Relação de Rubricas'!C:M,11,0)),"",VLOOKUP(S76,'Relação de Rubricas'!C:M,11,0))</f>
        <v/>
      </c>
    </row>
    <row r="77" spans="2:21" x14ac:dyDescent="0.25">
      <c r="S77" s="42" t="str">
        <f>IF(SUM('Relação de Rubricas'!A59:A535)=0,"",IF($Q$5="","",1+S76))</f>
        <v/>
      </c>
      <c r="T77" s="43" t="str">
        <f>IF(ISERROR(VLOOKUP(S77,'Relação de Rubricas'!C:F,3,0)),"",VLOOKUP(S77,'Relação de Rubricas'!C:F,3,0))</f>
        <v/>
      </c>
      <c r="U77" s="175" t="str">
        <f>IF(ISERROR(VLOOKUP(S77,'Relação de Rubricas'!C:M,11,0)),"",VLOOKUP(S77,'Relação de Rubricas'!C:M,11,0))</f>
        <v/>
      </c>
    </row>
    <row r="78" spans="2:21" x14ac:dyDescent="0.25">
      <c r="S78" s="42" t="str">
        <f>IF(SUM('Relação de Rubricas'!A60:A536)=0,"",IF($Q$5="","",1+S77))</f>
        <v/>
      </c>
      <c r="T78" s="43" t="str">
        <f>IF(ISERROR(VLOOKUP(S78,'Relação de Rubricas'!C:F,3,0)),"",VLOOKUP(S78,'Relação de Rubricas'!C:F,3,0))</f>
        <v/>
      </c>
      <c r="U78" s="175" t="str">
        <f>IF(ISERROR(VLOOKUP(S78,'Relação de Rubricas'!C:M,11,0)),"",VLOOKUP(S78,'Relação de Rubricas'!C:M,11,0))</f>
        <v/>
      </c>
    </row>
    <row r="79" spans="2:21" x14ac:dyDescent="0.25">
      <c r="S79" s="42" t="str">
        <f>IF(SUM('Relação de Rubricas'!A61:A537)=0,"",IF($Q$5="","",1+S78))</f>
        <v/>
      </c>
      <c r="T79" s="43" t="str">
        <f>IF(ISERROR(VLOOKUP(S79,'Relação de Rubricas'!C:F,3,0)),"",VLOOKUP(S79,'Relação de Rubricas'!C:F,3,0))</f>
        <v/>
      </c>
      <c r="U79" s="175" t="str">
        <f>IF(ISERROR(VLOOKUP(S79,'Relação de Rubricas'!C:M,11,0)),"",VLOOKUP(S79,'Relação de Rubricas'!C:M,11,0))</f>
        <v/>
      </c>
    </row>
    <row r="80" spans="2:21" x14ac:dyDescent="0.25">
      <c r="S80" s="42" t="str">
        <f>IF(SUM('Relação de Rubricas'!A62:A538)=0,"",IF($Q$5="","",1+S79))</f>
        <v/>
      </c>
      <c r="T80" s="43" t="str">
        <f>IF(ISERROR(VLOOKUP(S80,'Relação de Rubricas'!C:F,3,0)),"",VLOOKUP(S80,'Relação de Rubricas'!C:F,3,0))</f>
        <v/>
      </c>
      <c r="U80" s="175" t="str">
        <f>IF(ISERROR(VLOOKUP(S80,'Relação de Rubricas'!C:M,11,0)),"",VLOOKUP(S80,'Relação de Rubricas'!C:M,11,0))</f>
        <v/>
      </c>
    </row>
    <row r="81" spans="19:21" x14ac:dyDescent="0.25">
      <c r="S81" s="42" t="str">
        <f>IF(SUM('Relação de Rubricas'!A63:A539)=0,"",IF($Q$5="","",1+S80))</f>
        <v/>
      </c>
      <c r="T81" s="43" t="str">
        <f>IF(ISERROR(VLOOKUP(S81,'Relação de Rubricas'!C:F,3,0)),"",VLOOKUP(S81,'Relação de Rubricas'!C:F,3,0))</f>
        <v/>
      </c>
      <c r="U81" s="175" t="str">
        <f>IF(ISERROR(VLOOKUP(S81,'Relação de Rubricas'!C:M,11,0)),"",VLOOKUP(S81,'Relação de Rubricas'!C:M,11,0))</f>
        <v/>
      </c>
    </row>
    <row r="82" spans="19:21" x14ac:dyDescent="0.25">
      <c r="S82" s="42" t="str">
        <f>IF(SUM('Relação de Rubricas'!A64:A540)=0,"",IF($Q$5="","",1+S81))</f>
        <v/>
      </c>
      <c r="T82" s="43" t="str">
        <f>IF(ISERROR(VLOOKUP(S82,'Relação de Rubricas'!C:F,3,0)),"",VLOOKUP(S82,'Relação de Rubricas'!C:F,3,0))</f>
        <v/>
      </c>
      <c r="U82" s="175" t="str">
        <f>IF(ISERROR(VLOOKUP(S82,'Relação de Rubricas'!C:M,11,0)),"",VLOOKUP(S82,'Relação de Rubricas'!C:M,11,0))</f>
        <v/>
      </c>
    </row>
    <row r="83" spans="19:21" x14ac:dyDescent="0.25">
      <c r="S83" s="42" t="str">
        <f>IF(SUM('Relação de Rubricas'!A65:A541)=0,"",IF($Q$5="","",1+S82))</f>
        <v/>
      </c>
      <c r="T83" s="43" t="str">
        <f>IF(ISERROR(VLOOKUP(S83,'Relação de Rubricas'!C:F,3,0)),"",VLOOKUP(S83,'Relação de Rubricas'!C:F,3,0))</f>
        <v/>
      </c>
      <c r="U83" s="175" t="str">
        <f>IF(ISERROR(VLOOKUP(S83,'Relação de Rubricas'!C:M,11,0)),"",VLOOKUP(S83,'Relação de Rubricas'!C:M,11,0))</f>
        <v/>
      </c>
    </row>
    <row r="84" spans="19:21" x14ac:dyDescent="0.25">
      <c r="S84" s="42" t="str">
        <f>IF(SUM('Relação de Rubricas'!A66:A542)=0,"",IF($Q$5="","",1+S83))</f>
        <v/>
      </c>
      <c r="T84" s="43" t="str">
        <f>IF(ISERROR(VLOOKUP(S84,'Relação de Rubricas'!C:F,3,0)),"",VLOOKUP(S84,'Relação de Rubricas'!C:F,3,0))</f>
        <v/>
      </c>
      <c r="U84" s="175" t="str">
        <f>IF(ISERROR(VLOOKUP(S84,'Relação de Rubricas'!C:M,11,0)),"",VLOOKUP(S84,'Relação de Rubricas'!C:M,11,0))</f>
        <v/>
      </c>
    </row>
    <row r="85" spans="19:21" x14ac:dyDescent="0.25">
      <c r="S85" s="42" t="str">
        <f>IF(SUM('Relação de Rubricas'!A67:A543)=0,"",IF($Q$5="","",1+S84))</f>
        <v/>
      </c>
      <c r="T85" s="43" t="str">
        <f>IF(ISERROR(VLOOKUP(S85,'Relação de Rubricas'!C:F,3,0)),"",VLOOKUP(S85,'Relação de Rubricas'!C:F,3,0))</f>
        <v/>
      </c>
      <c r="U85" s="175" t="str">
        <f>IF(ISERROR(VLOOKUP(S85,'Relação de Rubricas'!C:M,11,0)),"",VLOOKUP(S85,'Relação de Rubricas'!C:M,11,0))</f>
        <v/>
      </c>
    </row>
    <row r="86" spans="19:21" x14ac:dyDescent="0.25">
      <c r="S86" s="42" t="str">
        <f>IF(SUM('Relação de Rubricas'!A68:A544)=0,"",IF($Q$5="","",1+S85))</f>
        <v/>
      </c>
      <c r="T86" s="43" t="str">
        <f>IF(ISERROR(VLOOKUP(S86,'Relação de Rubricas'!C:F,3,0)),"",VLOOKUP(S86,'Relação de Rubricas'!C:F,3,0))</f>
        <v/>
      </c>
      <c r="U86" s="175" t="str">
        <f>IF(ISERROR(VLOOKUP(S86,'Relação de Rubricas'!C:M,11,0)),"",VLOOKUP(S86,'Relação de Rubricas'!C:M,11,0))</f>
        <v/>
      </c>
    </row>
    <row r="87" spans="19:21" x14ac:dyDescent="0.25">
      <c r="S87" s="42" t="str">
        <f>IF(SUM('Relação de Rubricas'!A69:A545)=0,"",IF($Q$5="","",1+S86))</f>
        <v/>
      </c>
      <c r="T87" s="43" t="str">
        <f>IF(ISERROR(VLOOKUP(S87,'Relação de Rubricas'!C:F,3,0)),"",VLOOKUP(S87,'Relação de Rubricas'!C:F,3,0))</f>
        <v/>
      </c>
      <c r="U87" s="175" t="str">
        <f>IF(ISERROR(VLOOKUP(S87,'Relação de Rubricas'!C:M,11,0)),"",VLOOKUP(S87,'Relação de Rubricas'!C:M,11,0))</f>
        <v/>
      </c>
    </row>
    <row r="88" spans="19:21" x14ac:dyDescent="0.25">
      <c r="S88" s="42" t="str">
        <f>IF(SUM('Relação de Rubricas'!A70:A546)=0,"",IF($Q$5="","",1+S87))</f>
        <v/>
      </c>
      <c r="T88" s="43" t="str">
        <f>IF(ISERROR(VLOOKUP(S88,'Relação de Rubricas'!C:F,3,0)),"",VLOOKUP(S88,'Relação de Rubricas'!C:F,3,0))</f>
        <v/>
      </c>
      <c r="U88" s="175" t="str">
        <f>IF(ISERROR(VLOOKUP(S88,'Relação de Rubricas'!C:M,11,0)),"",VLOOKUP(S88,'Relação de Rubricas'!C:M,11,0))</f>
        <v/>
      </c>
    </row>
    <row r="89" spans="19:21" x14ac:dyDescent="0.25">
      <c r="S89" s="42" t="str">
        <f>IF(SUM('Relação de Rubricas'!A71:A547)=0,"",IF($Q$5="","",1+S88))</f>
        <v/>
      </c>
      <c r="T89" s="43" t="str">
        <f>IF(ISERROR(VLOOKUP(S89,'Relação de Rubricas'!C:F,3,0)),"",VLOOKUP(S89,'Relação de Rubricas'!C:F,3,0))</f>
        <v/>
      </c>
      <c r="U89" s="175" t="str">
        <f>IF(ISERROR(VLOOKUP(S89,'Relação de Rubricas'!C:M,11,0)),"",VLOOKUP(S89,'Relação de Rubricas'!C:M,11,0))</f>
        <v/>
      </c>
    </row>
    <row r="90" spans="19:21" x14ac:dyDescent="0.25">
      <c r="S90" s="42" t="str">
        <f>IF(SUM('Relação de Rubricas'!A72:A548)=0,"",IF($Q$5="","",1+S89))</f>
        <v/>
      </c>
      <c r="T90" s="43" t="str">
        <f>IF(ISERROR(VLOOKUP(S90,'Relação de Rubricas'!C:F,3,0)),"",VLOOKUP(S90,'Relação de Rubricas'!C:F,3,0))</f>
        <v/>
      </c>
      <c r="U90" s="175" t="str">
        <f>IF(ISERROR(VLOOKUP(S90,'Relação de Rubricas'!C:M,11,0)),"",VLOOKUP(S90,'Relação de Rubricas'!C:M,11,0))</f>
        <v/>
      </c>
    </row>
    <row r="91" spans="19:21" x14ac:dyDescent="0.25">
      <c r="S91" s="42" t="str">
        <f>IF(SUM('Relação de Rubricas'!A73:A549)=0,"",IF($Q$5="","",1+S90))</f>
        <v/>
      </c>
      <c r="T91" s="43" t="str">
        <f>IF(ISERROR(VLOOKUP(S91,'Relação de Rubricas'!C:F,3,0)),"",VLOOKUP(S91,'Relação de Rubricas'!C:F,3,0))</f>
        <v/>
      </c>
      <c r="U91" s="175" t="str">
        <f>IF(ISERROR(VLOOKUP(S91,'Relação de Rubricas'!C:M,11,0)),"",VLOOKUP(S91,'Relação de Rubricas'!C:M,11,0))</f>
        <v/>
      </c>
    </row>
    <row r="92" spans="19:21" x14ac:dyDescent="0.25">
      <c r="S92" s="42" t="str">
        <f>IF(SUM('Relação de Rubricas'!A74:A550)=0,"",IF($Q$5="","",1+S91))</f>
        <v/>
      </c>
      <c r="T92" s="43" t="str">
        <f>IF(ISERROR(VLOOKUP(S92,'Relação de Rubricas'!C:F,3,0)),"",VLOOKUP(S92,'Relação de Rubricas'!C:F,3,0))</f>
        <v/>
      </c>
      <c r="U92" s="175" t="str">
        <f>IF(ISERROR(VLOOKUP(S92,'Relação de Rubricas'!C:M,11,0)),"",VLOOKUP(S92,'Relação de Rubricas'!C:M,11,0))</f>
        <v/>
      </c>
    </row>
    <row r="93" spans="19:21" x14ac:dyDescent="0.25">
      <c r="S93" s="42" t="str">
        <f>IF(SUM('Relação de Rubricas'!A75:A551)=0,"",IF($Q$5="","",1+S92))</f>
        <v/>
      </c>
      <c r="T93" s="43" t="str">
        <f>IF(ISERROR(VLOOKUP(S93,'Relação de Rubricas'!C:F,3,0)),"",VLOOKUP(S93,'Relação de Rubricas'!C:F,3,0))</f>
        <v/>
      </c>
      <c r="U93" s="175" t="str">
        <f>IF(ISERROR(VLOOKUP(S93,'Relação de Rubricas'!C:M,11,0)),"",VLOOKUP(S93,'Relação de Rubricas'!C:M,11,0))</f>
        <v/>
      </c>
    </row>
    <row r="94" spans="19:21" x14ac:dyDescent="0.25">
      <c r="S94" s="42" t="str">
        <f>IF(SUM('Relação de Rubricas'!A76:A552)=0,"",IF($Q$5="","",1+S93))</f>
        <v/>
      </c>
      <c r="T94" s="43" t="str">
        <f>IF(ISERROR(VLOOKUP(S94,'Relação de Rubricas'!C:F,3,0)),"",VLOOKUP(S94,'Relação de Rubricas'!C:F,3,0))</f>
        <v/>
      </c>
      <c r="U94" s="175" t="str">
        <f>IF(ISERROR(VLOOKUP(S94,'Relação de Rubricas'!C:M,11,0)),"",VLOOKUP(S94,'Relação de Rubricas'!C:M,11,0))</f>
        <v/>
      </c>
    </row>
    <row r="95" spans="19:21" x14ac:dyDescent="0.25">
      <c r="S95" s="42" t="str">
        <f>IF(SUM('Relação de Rubricas'!A77:A553)=0,"",IF($Q$5="","",1+S94))</f>
        <v/>
      </c>
      <c r="T95" s="43" t="str">
        <f>IF(ISERROR(VLOOKUP(S95,'Relação de Rubricas'!C:F,3,0)),"",VLOOKUP(S95,'Relação de Rubricas'!C:F,3,0))</f>
        <v/>
      </c>
      <c r="U95" s="175" t="str">
        <f>IF(ISERROR(VLOOKUP(S95,'Relação de Rubricas'!C:M,11,0)),"",VLOOKUP(S95,'Relação de Rubricas'!C:M,11,0))</f>
        <v/>
      </c>
    </row>
    <row r="96" spans="19:21" x14ac:dyDescent="0.25">
      <c r="S96" s="42" t="str">
        <f>IF(SUM('Relação de Rubricas'!A78:A554)=0,"",IF($Q$5="","",1+S95))</f>
        <v/>
      </c>
      <c r="T96" s="43" t="str">
        <f>IF(ISERROR(VLOOKUP(S96,'Relação de Rubricas'!C:F,3,0)),"",VLOOKUP(S96,'Relação de Rubricas'!C:F,3,0))</f>
        <v/>
      </c>
      <c r="U96" s="175" t="str">
        <f>IF(ISERROR(VLOOKUP(S96,'Relação de Rubricas'!C:M,11,0)),"",VLOOKUP(S96,'Relação de Rubricas'!C:M,11,0))</f>
        <v/>
      </c>
    </row>
    <row r="97" spans="19:21" x14ac:dyDescent="0.25">
      <c r="S97" s="42" t="str">
        <f>IF(SUM('Relação de Rubricas'!A79:A555)=0,"",IF($Q$5="","",1+S96))</f>
        <v/>
      </c>
      <c r="T97" s="43" t="str">
        <f>IF(ISERROR(VLOOKUP(S97,'Relação de Rubricas'!C:F,3,0)),"",VLOOKUP(S97,'Relação de Rubricas'!C:F,3,0))</f>
        <v/>
      </c>
      <c r="U97" s="175" t="str">
        <f>IF(ISERROR(VLOOKUP(S97,'Relação de Rubricas'!C:M,11,0)),"",VLOOKUP(S97,'Relação de Rubricas'!C:M,11,0))</f>
        <v/>
      </c>
    </row>
    <row r="98" spans="19:21" x14ac:dyDescent="0.25">
      <c r="S98" s="42" t="str">
        <f>IF(SUM('Relação de Rubricas'!A80:A556)=0,"",IF($Q$5="","",1+S97))</f>
        <v/>
      </c>
      <c r="T98" s="43" t="str">
        <f>IF(ISERROR(VLOOKUP(S98,'Relação de Rubricas'!C:F,3,0)),"",VLOOKUP(S98,'Relação de Rubricas'!C:F,3,0))</f>
        <v/>
      </c>
      <c r="U98" s="175" t="str">
        <f>IF(ISERROR(VLOOKUP(S98,'Relação de Rubricas'!C:M,11,0)),"",VLOOKUP(S98,'Relação de Rubricas'!C:M,11,0))</f>
        <v/>
      </c>
    </row>
    <row r="99" spans="19:21" x14ac:dyDescent="0.25">
      <c r="S99" s="42" t="str">
        <f>IF(SUM('Relação de Rubricas'!A81:A557)=0,"",IF($Q$5="","",1+S98))</f>
        <v/>
      </c>
      <c r="T99" s="43" t="str">
        <f>IF(ISERROR(VLOOKUP(S99,'Relação de Rubricas'!C:F,3,0)),"",VLOOKUP(S99,'Relação de Rubricas'!C:F,3,0))</f>
        <v/>
      </c>
      <c r="U99" s="175" t="str">
        <f>IF(ISERROR(VLOOKUP(S99,'Relação de Rubricas'!C:M,11,0)),"",VLOOKUP(S99,'Relação de Rubricas'!C:M,11,0))</f>
        <v/>
      </c>
    </row>
    <row r="100" spans="19:21" x14ac:dyDescent="0.25">
      <c r="S100" s="42" t="str">
        <f>IF(SUM('Relação de Rubricas'!A82:A558)=0,"",IF($Q$5="","",1+S99))</f>
        <v/>
      </c>
      <c r="T100" s="43" t="str">
        <f>IF(ISERROR(VLOOKUP(S100,'Relação de Rubricas'!C:F,3,0)),"",VLOOKUP(S100,'Relação de Rubricas'!C:F,3,0))</f>
        <v/>
      </c>
      <c r="U100" s="175" t="str">
        <f>IF(ISERROR(VLOOKUP(S100,'Relação de Rubricas'!C:M,11,0)),"",VLOOKUP(S100,'Relação de Rubricas'!C:M,11,0))</f>
        <v/>
      </c>
    </row>
    <row r="101" spans="19:21" x14ac:dyDescent="0.25">
      <c r="S101" s="42" t="str">
        <f>IF(SUM('Relação de Rubricas'!A83:A559)=0,"",IF($Q$5="","",1+S100))</f>
        <v/>
      </c>
      <c r="T101" s="43" t="str">
        <f>IF(ISERROR(VLOOKUP(S101,'Relação de Rubricas'!C:F,3,0)),"",VLOOKUP(S101,'Relação de Rubricas'!C:F,3,0))</f>
        <v/>
      </c>
      <c r="U101" s="175" t="str">
        <f>IF(ISERROR(VLOOKUP(S101,'Relação de Rubricas'!C:M,11,0)),"",VLOOKUP(S101,'Relação de Rubricas'!C:M,11,0))</f>
        <v/>
      </c>
    </row>
    <row r="102" spans="19:21" x14ac:dyDescent="0.25">
      <c r="S102" s="42" t="str">
        <f>IF(SUM('Relação de Rubricas'!A84:A560)=0,"",IF($Q$5="","",1+S101))</f>
        <v/>
      </c>
      <c r="T102" s="43" t="str">
        <f>IF(ISERROR(VLOOKUP(S102,'Relação de Rubricas'!C:F,3,0)),"",VLOOKUP(S102,'Relação de Rubricas'!C:F,3,0))</f>
        <v/>
      </c>
      <c r="U102" s="175" t="str">
        <f>IF(ISERROR(VLOOKUP(S102,'Relação de Rubricas'!C:M,11,0)),"",VLOOKUP(S102,'Relação de Rubricas'!C:M,11,0))</f>
        <v/>
      </c>
    </row>
    <row r="103" spans="19:21" x14ac:dyDescent="0.25">
      <c r="S103" s="42" t="str">
        <f>IF(SUM('Relação de Rubricas'!A85:A561)=0,"",IF($Q$5="","",1+S102))</f>
        <v/>
      </c>
      <c r="T103" s="43" t="str">
        <f>IF(ISERROR(VLOOKUP(S103,'Relação de Rubricas'!C:F,3,0)),"",VLOOKUP(S103,'Relação de Rubricas'!C:F,3,0))</f>
        <v/>
      </c>
      <c r="U103" s="175" t="str">
        <f>IF(ISERROR(VLOOKUP(S103,'Relação de Rubricas'!C:M,11,0)),"",VLOOKUP(S103,'Relação de Rubricas'!C:M,11,0))</f>
        <v/>
      </c>
    </row>
    <row r="104" spans="19:21" x14ac:dyDescent="0.25">
      <c r="S104" s="42" t="str">
        <f>IF(SUM('Relação de Rubricas'!A86:A562)=0,"",IF($Q$5="","",1+S103))</f>
        <v/>
      </c>
      <c r="T104" s="43" t="str">
        <f>IF(ISERROR(VLOOKUP(S104,'Relação de Rubricas'!C:F,3,0)),"",VLOOKUP(S104,'Relação de Rubricas'!C:F,3,0))</f>
        <v/>
      </c>
      <c r="U104" s="175" t="str">
        <f>IF(ISERROR(VLOOKUP(S104,'Relação de Rubricas'!C:M,11,0)),"",VLOOKUP(S104,'Relação de Rubricas'!C:M,11,0))</f>
        <v/>
      </c>
    </row>
    <row r="105" spans="19:21" x14ac:dyDescent="0.25">
      <c r="S105" s="42" t="str">
        <f>IF(SUM('Relação de Rubricas'!A87:A563)=0,"",IF($Q$5="","",1+S104))</f>
        <v/>
      </c>
      <c r="T105" s="43" t="str">
        <f>IF(ISERROR(VLOOKUP(S105,'Relação de Rubricas'!C:F,3,0)),"",VLOOKUP(S105,'Relação de Rubricas'!C:F,3,0))</f>
        <v/>
      </c>
      <c r="U105" s="175" t="str">
        <f>IF(ISERROR(VLOOKUP(S105,'Relação de Rubricas'!C:M,11,0)),"",VLOOKUP(S105,'Relação de Rubricas'!C:M,11,0))</f>
        <v/>
      </c>
    </row>
    <row r="106" spans="19:21" x14ac:dyDescent="0.25">
      <c r="S106" s="42" t="str">
        <f>IF(SUM('Relação de Rubricas'!A88:A564)=0,"",IF($Q$5="","",1+S105))</f>
        <v/>
      </c>
      <c r="T106" s="43" t="str">
        <f>IF(ISERROR(VLOOKUP(S106,'Relação de Rubricas'!C:F,3,0)),"",VLOOKUP(S106,'Relação de Rubricas'!C:F,3,0))</f>
        <v/>
      </c>
      <c r="U106" s="175" t="str">
        <f>IF(ISERROR(VLOOKUP(S106,'Relação de Rubricas'!C:M,11,0)),"",VLOOKUP(S106,'Relação de Rubricas'!C:M,11,0))</f>
        <v/>
      </c>
    </row>
    <row r="107" spans="19:21" x14ac:dyDescent="0.25">
      <c r="S107" s="42" t="str">
        <f>IF(SUM('Relação de Rubricas'!A89:A565)=0,"",IF($Q$5="","",1+S106))</f>
        <v/>
      </c>
      <c r="T107" s="43" t="str">
        <f>IF(ISERROR(VLOOKUP(S107,'Relação de Rubricas'!C:F,3,0)),"",VLOOKUP(S107,'Relação de Rubricas'!C:F,3,0))</f>
        <v/>
      </c>
      <c r="U107" s="175" t="str">
        <f>IF(ISERROR(VLOOKUP(S107,'Relação de Rubricas'!C:M,11,0)),"",VLOOKUP(S107,'Relação de Rubricas'!C:M,11,0))</f>
        <v/>
      </c>
    </row>
    <row r="108" spans="19:21" x14ac:dyDescent="0.25">
      <c r="S108" s="42" t="str">
        <f>IF(SUM('Relação de Rubricas'!A90:A566)=0,"",IF($Q$5="","",1+S107))</f>
        <v/>
      </c>
      <c r="T108" s="43" t="str">
        <f>IF(ISERROR(VLOOKUP(S108,'Relação de Rubricas'!C:F,3,0)),"",VLOOKUP(S108,'Relação de Rubricas'!C:F,3,0))</f>
        <v/>
      </c>
      <c r="U108" s="175" t="str">
        <f>IF(ISERROR(VLOOKUP(S108,'Relação de Rubricas'!C:M,11,0)),"",VLOOKUP(S108,'Relação de Rubricas'!C:M,11,0))</f>
        <v/>
      </c>
    </row>
    <row r="109" spans="19:21" x14ac:dyDescent="0.25">
      <c r="S109" s="42" t="str">
        <f>IF(SUM('Relação de Rubricas'!A91:A567)=0,"",IF($Q$5="","",1+S108))</f>
        <v/>
      </c>
      <c r="T109" s="43" t="str">
        <f>IF(ISERROR(VLOOKUP(S109,'Relação de Rubricas'!C:F,3,0)),"",VLOOKUP(S109,'Relação de Rubricas'!C:F,3,0))</f>
        <v/>
      </c>
      <c r="U109" s="175" t="str">
        <f>IF(ISERROR(VLOOKUP(S109,'Relação de Rubricas'!C:M,11,0)),"",VLOOKUP(S109,'Relação de Rubricas'!C:M,11,0))</f>
        <v/>
      </c>
    </row>
    <row r="110" spans="19:21" x14ac:dyDescent="0.25">
      <c r="S110" s="42" t="str">
        <f>IF(SUM('Relação de Rubricas'!A92:A568)=0,"",IF($Q$5="","",1+S109))</f>
        <v/>
      </c>
      <c r="T110" s="43" t="str">
        <f>IF(ISERROR(VLOOKUP(S110,'Relação de Rubricas'!C:F,3,0)),"",VLOOKUP(S110,'Relação de Rubricas'!C:F,3,0))</f>
        <v/>
      </c>
      <c r="U110" s="175" t="str">
        <f>IF(ISERROR(VLOOKUP(S110,'Relação de Rubricas'!C:M,11,0)),"",VLOOKUP(S110,'Relação de Rubricas'!C:M,11,0))</f>
        <v/>
      </c>
    </row>
    <row r="111" spans="19:21" x14ac:dyDescent="0.25">
      <c r="S111" s="42" t="str">
        <f>IF(SUM('Relação de Rubricas'!A93:A569)=0,"",IF($Q$5="","",1+S110))</f>
        <v/>
      </c>
      <c r="T111" s="43" t="str">
        <f>IF(ISERROR(VLOOKUP(S111,'Relação de Rubricas'!C:F,3,0)),"",VLOOKUP(S111,'Relação de Rubricas'!C:F,3,0))</f>
        <v/>
      </c>
      <c r="U111" s="175" t="str">
        <f>IF(ISERROR(VLOOKUP(S111,'Relação de Rubricas'!C:M,11,0)),"",VLOOKUP(S111,'Relação de Rubricas'!C:M,11,0))</f>
        <v/>
      </c>
    </row>
    <row r="112" spans="19:21" x14ac:dyDescent="0.25">
      <c r="S112" s="42" t="str">
        <f>IF(SUM('Relação de Rubricas'!A94:A570)=0,"",IF($Q$5="","",1+S111))</f>
        <v/>
      </c>
      <c r="T112" s="43" t="str">
        <f>IF(ISERROR(VLOOKUP(S112,'Relação de Rubricas'!C:F,3,0)),"",VLOOKUP(S112,'Relação de Rubricas'!C:F,3,0))</f>
        <v/>
      </c>
      <c r="U112" s="175" t="str">
        <f>IF(ISERROR(VLOOKUP(S112,'Relação de Rubricas'!C:M,11,0)),"",VLOOKUP(S112,'Relação de Rubricas'!C:M,11,0))</f>
        <v/>
      </c>
    </row>
    <row r="113" spans="19:21" x14ac:dyDescent="0.25">
      <c r="S113" s="42" t="str">
        <f>IF(SUM('Relação de Rubricas'!A95:A571)=0,"",IF($Q$5="","",1+S112))</f>
        <v/>
      </c>
      <c r="T113" s="43" t="str">
        <f>IF(ISERROR(VLOOKUP(S113,'Relação de Rubricas'!C:F,3,0)),"",VLOOKUP(S113,'Relação de Rubricas'!C:F,3,0))</f>
        <v/>
      </c>
      <c r="U113" s="175" t="str">
        <f>IF(ISERROR(VLOOKUP(S113,'Relação de Rubricas'!C:M,11,0)),"",VLOOKUP(S113,'Relação de Rubricas'!C:M,11,0))</f>
        <v/>
      </c>
    </row>
    <row r="114" spans="19:21" x14ac:dyDescent="0.25">
      <c r="S114" s="42" t="str">
        <f>IF(SUM('Relação de Rubricas'!A96:A572)=0,"",IF($Q$5="","",1+S113))</f>
        <v/>
      </c>
      <c r="T114" s="43" t="str">
        <f>IF(ISERROR(VLOOKUP(S114,'Relação de Rubricas'!C:F,3,0)),"",VLOOKUP(S114,'Relação de Rubricas'!C:F,3,0))</f>
        <v/>
      </c>
      <c r="U114" s="175" t="str">
        <f>IF(ISERROR(VLOOKUP(S114,'Relação de Rubricas'!C:M,11,0)),"",VLOOKUP(S114,'Relação de Rubricas'!C:M,11,0))</f>
        <v/>
      </c>
    </row>
    <row r="115" spans="19:21" x14ac:dyDescent="0.25">
      <c r="S115" s="42" t="str">
        <f>IF(SUM('Relação de Rubricas'!A97:A573)=0,"",IF($Q$5="","",1+S114))</f>
        <v/>
      </c>
      <c r="T115" s="43" t="str">
        <f>IF(ISERROR(VLOOKUP(S115,'Relação de Rubricas'!C:F,3,0)),"",VLOOKUP(S115,'Relação de Rubricas'!C:F,3,0))</f>
        <v/>
      </c>
      <c r="U115" s="175" t="str">
        <f>IF(ISERROR(VLOOKUP(S115,'Relação de Rubricas'!C:M,11,0)),"",VLOOKUP(S115,'Relação de Rubricas'!C:M,11,0))</f>
        <v/>
      </c>
    </row>
    <row r="116" spans="19:21" x14ac:dyDescent="0.25">
      <c r="S116" s="42" t="str">
        <f>IF(SUM('Relação de Rubricas'!A98:A574)=0,"",IF($Q$5="","",1+S115))</f>
        <v/>
      </c>
      <c r="T116" s="43" t="str">
        <f>IF(ISERROR(VLOOKUP(S116,'Relação de Rubricas'!C:F,3,0)),"",VLOOKUP(S116,'Relação de Rubricas'!C:F,3,0))</f>
        <v/>
      </c>
      <c r="U116" s="175" t="str">
        <f>IF(ISERROR(VLOOKUP(S116,'Relação de Rubricas'!C:M,11,0)),"",VLOOKUP(S116,'Relação de Rubricas'!C:M,11,0))</f>
        <v/>
      </c>
    </row>
    <row r="117" spans="19:21" x14ac:dyDescent="0.25">
      <c r="S117" s="42" t="str">
        <f>IF(SUM('Relação de Rubricas'!A99:A575)=0,"",IF($Q$5="","",1+S116))</f>
        <v/>
      </c>
      <c r="T117" s="43" t="str">
        <f>IF(ISERROR(VLOOKUP(S117,'Relação de Rubricas'!C:F,3,0)),"",VLOOKUP(S117,'Relação de Rubricas'!C:F,3,0))</f>
        <v/>
      </c>
      <c r="U117" s="175" t="str">
        <f>IF(ISERROR(VLOOKUP(S117,'Relação de Rubricas'!C:M,11,0)),"",VLOOKUP(S117,'Relação de Rubricas'!C:M,11,0))</f>
        <v/>
      </c>
    </row>
    <row r="118" spans="19:21" x14ac:dyDescent="0.25">
      <c r="S118" s="42" t="str">
        <f>IF(SUM('Relação de Rubricas'!A100:A576)=0,"",IF($Q$5="","",1+S117))</f>
        <v/>
      </c>
      <c r="T118" s="43" t="str">
        <f>IF(ISERROR(VLOOKUP(S118,'Relação de Rubricas'!C:F,3,0)),"",VLOOKUP(S118,'Relação de Rubricas'!C:F,3,0))</f>
        <v/>
      </c>
      <c r="U118" s="175" t="str">
        <f>IF(ISERROR(VLOOKUP(S118,'Relação de Rubricas'!C:M,11,0)),"",VLOOKUP(S118,'Relação de Rubricas'!C:M,11,0))</f>
        <v/>
      </c>
    </row>
    <row r="119" spans="19:21" x14ac:dyDescent="0.25">
      <c r="S119" s="42" t="str">
        <f>IF(SUM('Relação de Rubricas'!A101:A577)=0,"",IF($Q$5="","",1+S118))</f>
        <v/>
      </c>
      <c r="T119" s="43" t="str">
        <f>IF(ISERROR(VLOOKUP(S119,'Relação de Rubricas'!C:F,3,0)),"",VLOOKUP(S119,'Relação de Rubricas'!C:F,3,0))</f>
        <v/>
      </c>
      <c r="U119" s="175" t="str">
        <f>IF(ISERROR(VLOOKUP(S119,'Relação de Rubricas'!C:M,11,0)),"",VLOOKUP(S119,'Relação de Rubricas'!C:M,11,0))</f>
        <v/>
      </c>
    </row>
    <row r="120" spans="19:21" x14ac:dyDescent="0.25">
      <c r="S120" s="42" t="str">
        <f>IF(SUM('Relação de Rubricas'!A102:A578)=0,"",IF($Q$5="","",1+S119))</f>
        <v/>
      </c>
      <c r="T120" s="43" t="str">
        <f>IF(ISERROR(VLOOKUP(S120,'Relação de Rubricas'!C:F,3,0)),"",VLOOKUP(S120,'Relação de Rubricas'!C:F,3,0))</f>
        <v/>
      </c>
      <c r="U120" s="175" t="str">
        <f>IF(ISERROR(VLOOKUP(S120,'Relação de Rubricas'!C:M,11,0)),"",VLOOKUP(S120,'Relação de Rubricas'!C:M,11,0))</f>
        <v/>
      </c>
    </row>
    <row r="121" spans="19:21" x14ac:dyDescent="0.25">
      <c r="S121" s="42" t="str">
        <f>IF(SUM('Relação de Rubricas'!A103:A579)=0,"",IF($Q$5="","",1+S120))</f>
        <v/>
      </c>
      <c r="T121" s="43" t="str">
        <f>IF(ISERROR(VLOOKUP(S121,'Relação de Rubricas'!C:F,3,0)),"",VLOOKUP(S121,'Relação de Rubricas'!C:F,3,0))</f>
        <v/>
      </c>
      <c r="U121" s="175" t="str">
        <f>IF(ISERROR(VLOOKUP(S121,'Relação de Rubricas'!C:M,11,0)),"",VLOOKUP(S121,'Relação de Rubricas'!C:M,11,0))</f>
        <v/>
      </c>
    </row>
    <row r="122" spans="19:21" x14ac:dyDescent="0.25">
      <c r="S122" s="42" t="str">
        <f>IF(SUM('Relação de Rubricas'!A104:A580)=0,"",IF($Q$5="","",1+S121))</f>
        <v/>
      </c>
      <c r="T122" s="43" t="str">
        <f>IF(ISERROR(VLOOKUP(S122,'Relação de Rubricas'!C:F,3,0)),"",VLOOKUP(S122,'Relação de Rubricas'!C:F,3,0))</f>
        <v/>
      </c>
      <c r="U122" s="175" t="str">
        <f>IF(ISERROR(VLOOKUP(S122,'Relação de Rubricas'!C:M,11,0)),"",VLOOKUP(S122,'Relação de Rubricas'!C:M,11,0))</f>
        <v/>
      </c>
    </row>
    <row r="123" spans="19:21" x14ac:dyDescent="0.25">
      <c r="S123" s="42" t="str">
        <f>IF(SUM('Relação de Rubricas'!A105:A581)=0,"",IF($Q$5="","",1+S122))</f>
        <v/>
      </c>
      <c r="T123" s="43" t="str">
        <f>IF(ISERROR(VLOOKUP(S123,'Relação de Rubricas'!C:F,3,0)),"",VLOOKUP(S123,'Relação de Rubricas'!C:F,3,0))</f>
        <v/>
      </c>
      <c r="U123" s="175" t="str">
        <f>IF(ISERROR(VLOOKUP(S123,'Relação de Rubricas'!C:M,11,0)),"",VLOOKUP(S123,'Relação de Rubricas'!C:M,11,0))</f>
        <v/>
      </c>
    </row>
    <row r="124" spans="19:21" x14ac:dyDescent="0.25">
      <c r="S124" s="42" t="str">
        <f>IF(SUM('Relação de Rubricas'!A106:A582)=0,"",IF($Q$5="","",1+S123))</f>
        <v/>
      </c>
      <c r="T124" s="43" t="str">
        <f>IF(ISERROR(VLOOKUP(S124,'Relação de Rubricas'!C:F,3,0)),"",VLOOKUP(S124,'Relação de Rubricas'!C:F,3,0))</f>
        <v/>
      </c>
      <c r="U124" s="175" t="str">
        <f>IF(ISERROR(VLOOKUP(S124,'Relação de Rubricas'!C:M,11,0)),"",VLOOKUP(S124,'Relação de Rubricas'!C:M,11,0))</f>
        <v/>
      </c>
    </row>
    <row r="125" spans="19:21" x14ac:dyDescent="0.25">
      <c r="S125" s="42" t="str">
        <f>IF(SUM('Relação de Rubricas'!A107:A583)=0,"",IF($Q$5="","",1+S124))</f>
        <v/>
      </c>
      <c r="T125" s="43" t="str">
        <f>IF(ISERROR(VLOOKUP(S125,'Relação de Rubricas'!C:F,3,0)),"",VLOOKUP(S125,'Relação de Rubricas'!C:F,3,0))</f>
        <v/>
      </c>
      <c r="U125" s="175" t="str">
        <f>IF(ISERROR(VLOOKUP(S125,'Relação de Rubricas'!C:M,11,0)),"",VLOOKUP(S125,'Relação de Rubricas'!C:M,11,0))</f>
        <v/>
      </c>
    </row>
    <row r="126" spans="19:21" x14ac:dyDescent="0.25">
      <c r="S126" s="42" t="str">
        <f>IF(SUM('Relação de Rubricas'!A108:A584)=0,"",IF($Q$5="","",1+S125))</f>
        <v/>
      </c>
      <c r="T126" s="43" t="str">
        <f>IF(ISERROR(VLOOKUP(S126,'Relação de Rubricas'!C:F,3,0)),"",VLOOKUP(S126,'Relação de Rubricas'!C:F,3,0))</f>
        <v/>
      </c>
      <c r="U126" s="175" t="str">
        <f>IF(ISERROR(VLOOKUP(S126,'Relação de Rubricas'!C:M,11,0)),"",VLOOKUP(S126,'Relação de Rubricas'!C:M,11,0))</f>
        <v/>
      </c>
    </row>
    <row r="127" spans="19:21" x14ac:dyDescent="0.25">
      <c r="S127" s="42" t="str">
        <f>IF(SUM('Relação de Rubricas'!A109:A585)=0,"",IF($Q$5="","",1+S126))</f>
        <v/>
      </c>
      <c r="T127" s="43" t="str">
        <f>IF(ISERROR(VLOOKUP(S127,'Relação de Rubricas'!C:F,3,0)),"",VLOOKUP(S127,'Relação de Rubricas'!C:F,3,0))</f>
        <v/>
      </c>
      <c r="U127" s="175" t="str">
        <f>IF(ISERROR(VLOOKUP(S127,'Relação de Rubricas'!C:M,11,0)),"",VLOOKUP(S127,'Relação de Rubricas'!C:M,11,0))</f>
        <v/>
      </c>
    </row>
    <row r="128" spans="19:21" x14ac:dyDescent="0.25">
      <c r="S128" s="42" t="str">
        <f>IF(SUM('Relação de Rubricas'!A110:A586)=0,"",IF($Q$5="","",1+S127))</f>
        <v/>
      </c>
      <c r="T128" s="43" t="str">
        <f>IF(ISERROR(VLOOKUP(S128,'Relação de Rubricas'!C:F,3,0)),"",VLOOKUP(S128,'Relação de Rubricas'!C:F,3,0))</f>
        <v/>
      </c>
      <c r="U128" s="175" t="str">
        <f>IF(ISERROR(VLOOKUP(S128,'Relação de Rubricas'!C:M,11,0)),"",VLOOKUP(S128,'Relação de Rubricas'!C:M,11,0))</f>
        <v/>
      </c>
    </row>
    <row r="129" spans="19:21" x14ac:dyDescent="0.25">
      <c r="S129" s="42" t="str">
        <f>IF(SUM('Relação de Rubricas'!A111:A587)=0,"",IF($Q$5="","",1+S128))</f>
        <v/>
      </c>
      <c r="T129" s="43" t="str">
        <f>IF(ISERROR(VLOOKUP(S129,'Relação de Rubricas'!C:F,3,0)),"",VLOOKUP(S129,'Relação de Rubricas'!C:F,3,0))</f>
        <v/>
      </c>
      <c r="U129" s="175" t="str">
        <f>IF(ISERROR(VLOOKUP(S129,'Relação de Rubricas'!C:M,11,0)),"",VLOOKUP(S129,'Relação de Rubricas'!C:M,11,0))</f>
        <v/>
      </c>
    </row>
    <row r="130" spans="19:21" x14ac:dyDescent="0.25">
      <c r="S130" s="42" t="str">
        <f>IF(SUM('Relação de Rubricas'!A112:A588)=0,"",IF($Q$5="","",1+S129))</f>
        <v/>
      </c>
      <c r="T130" s="43" t="str">
        <f>IF(ISERROR(VLOOKUP(S130,'Relação de Rubricas'!C:F,3,0)),"",VLOOKUP(S130,'Relação de Rubricas'!C:F,3,0))</f>
        <v/>
      </c>
      <c r="U130" s="175" t="str">
        <f>IF(ISERROR(VLOOKUP(S130,'Relação de Rubricas'!C:M,11,0)),"",VLOOKUP(S130,'Relação de Rubricas'!C:M,11,0))</f>
        <v/>
      </c>
    </row>
    <row r="131" spans="19:21" x14ac:dyDescent="0.25">
      <c r="S131" s="42" t="str">
        <f>IF(SUM('Relação de Rubricas'!A113:A589)=0,"",IF($Q$5="","",1+S130))</f>
        <v/>
      </c>
      <c r="T131" s="43" t="str">
        <f>IF(ISERROR(VLOOKUP(S131,'Relação de Rubricas'!C:F,3,0)),"",VLOOKUP(S131,'Relação de Rubricas'!C:F,3,0))</f>
        <v/>
      </c>
      <c r="U131" s="175" t="str">
        <f>IF(ISERROR(VLOOKUP(S131,'Relação de Rubricas'!C:M,11,0)),"",VLOOKUP(S131,'Relação de Rubricas'!C:M,11,0))</f>
        <v/>
      </c>
    </row>
    <row r="132" spans="19:21" x14ac:dyDescent="0.25">
      <c r="S132" s="42" t="str">
        <f>IF(SUM('Relação de Rubricas'!A114:A590)=0,"",IF($Q$5="","",1+S131))</f>
        <v/>
      </c>
      <c r="T132" s="43" t="str">
        <f>IF(ISERROR(VLOOKUP(S132,'Relação de Rubricas'!C:F,3,0)),"",VLOOKUP(S132,'Relação de Rubricas'!C:F,3,0))</f>
        <v/>
      </c>
      <c r="U132" s="175" t="str">
        <f>IF(ISERROR(VLOOKUP(S132,'Relação de Rubricas'!C:M,11,0)),"",VLOOKUP(S132,'Relação de Rubricas'!C:M,11,0))</f>
        <v/>
      </c>
    </row>
    <row r="133" spans="19:21" x14ac:dyDescent="0.25">
      <c r="S133" s="42" t="str">
        <f>IF(SUM('Relação de Rubricas'!A115:A591)=0,"",IF($Q$5="","",1+S132))</f>
        <v/>
      </c>
      <c r="T133" s="43" t="str">
        <f>IF(ISERROR(VLOOKUP(S133,'Relação de Rubricas'!C:F,3,0)),"",VLOOKUP(S133,'Relação de Rubricas'!C:F,3,0))</f>
        <v/>
      </c>
      <c r="U133" s="175" t="str">
        <f>IF(ISERROR(VLOOKUP(S133,'Relação de Rubricas'!C:M,11,0)),"",VLOOKUP(S133,'Relação de Rubricas'!C:M,11,0))</f>
        <v/>
      </c>
    </row>
    <row r="134" spans="19:21" x14ac:dyDescent="0.25">
      <c r="S134" s="42" t="str">
        <f>IF(SUM('Relação de Rubricas'!A116:A592)=0,"",IF($Q$5="","",1+S133))</f>
        <v/>
      </c>
      <c r="T134" s="43" t="str">
        <f>IF(ISERROR(VLOOKUP(S134,'Relação de Rubricas'!C:F,3,0)),"",VLOOKUP(S134,'Relação de Rubricas'!C:F,3,0))</f>
        <v/>
      </c>
      <c r="U134" s="175" t="str">
        <f>IF(ISERROR(VLOOKUP(S134,'Relação de Rubricas'!C:M,11,0)),"",VLOOKUP(S134,'Relação de Rubricas'!C:M,11,0))</f>
        <v/>
      </c>
    </row>
    <row r="135" spans="19:21" x14ac:dyDescent="0.25">
      <c r="S135" s="42" t="str">
        <f>IF(SUM('Relação de Rubricas'!A117:A593)=0,"",IF($Q$5="","",1+S134))</f>
        <v/>
      </c>
      <c r="T135" s="43" t="str">
        <f>IF(ISERROR(VLOOKUP(S135,'Relação de Rubricas'!C:F,3,0)),"",VLOOKUP(S135,'Relação de Rubricas'!C:F,3,0))</f>
        <v/>
      </c>
      <c r="U135" s="175" t="str">
        <f>IF(ISERROR(VLOOKUP(S135,'Relação de Rubricas'!C:M,11,0)),"",VLOOKUP(S135,'Relação de Rubricas'!C:M,11,0))</f>
        <v/>
      </c>
    </row>
    <row r="136" spans="19:21" x14ac:dyDescent="0.25">
      <c r="S136" s="42" t="str">
        <f>IF(SUM('Relação de Rubricas'!A118:A594)=0,"",IF($Q$5="","",1+S135))</f>
        <v/>
      </c>
      <c r="T136" s="43" t="str">
        <f>IF(ISERROR(VLOOKUP(S136,'Relação de Rubricas'!C:F,3,0)),"",VLOOKUP(S136,'Relação de Rubricas'!C:F,3,0))</f>
        <v/>
      </c>
      <c r="U136" s="175" t="str">
        <f>IF(ISERROR(VLOOKUP(S136,'Relação de Rubricas'!C:M,11,0)),"",VLOOKUP(S136,'Relação de Rubricas'!C:M,11,0))</f>
        <v/>
      </c>
    </row>
    <row r="137" spans="19:21" x14ac:dyDescent="0.25">
      <c r="S137" s="42" t="str">
        <f>IF(SUM('Relação de Rubricas'!A119:A595)=0,"",IF($Q$5="","",1+S136))</f>
        <v/>
      </c>
      <c r="T137" s="43" t="str">
        <f>IF(ISERROR(VLOOKUP(S137,'Relação de Rubricas'!C:F,3,0)),"",VLOOKUP(S137,'Relação de Rubricas'!C:F,3,0))</f>
        <v/>
      </c>
      <c r="U137" s="175" t="str">
        <f>IF(ISERROR(VLOOKUP(S137,'Relação de Rubricas'!C:M,11,0)),"",VLOOKUP(S137,'Relação de Rubricas'!C:M,11,0))</f>
        <v/>
      </c>
    </row>
    <row r="138" spans="19:21" x14ac:dyDescent="0.25">
      <c r="S138" s="42" t="str">
        <f>IF(SUM('Relação de Rubricas'!A120:A596)=0,"",IF($Q$5="","",1+S137))</f>
        <v/>
      </c>
      <c r="T138" s="43" t="str">
        <f>IF(ISERROR(VLOOKUP(S138,'Relação de Rubricas'!C:F,3,0)),"",VLOOKUP(S138,'Relação de Rubricas'!C:F,3,0))</f>
        <v/>
      </c>
      <c r="U138" s="175" t="str">
        <f>IF(ISERROR(VLOOKUP(S138,'Relação de Rubricas'!C:M,11,0)),"",VLOOKUP(S138,'Relação de Rubricas'!C:M,11,0))</f>
        <v/>
      </c>
    </row>
    <row r="139" spans="19:21" x14ac:dyDescent="0.25">
      <c r="S139" s="42" t="str">
        <f>IF(SUM('Relação de Rubricas'!A121:A597)=0,"",IF($Q$5="","",1+S138))</f>
        <v/>
      </c>
      <c r="T139" s="43" t="str">
        <f>IF(ISERROR(VLOOKUP(S139,'Relação de Rubricas'!C:F,3,0)),"",VLOOKUP(S139,'Relação de Rubricas'!C:F,3,0))</f>
        <v/>
      </c>
      <c r="U139" s="175" t="str">
        <f>IF(ISERROR(VLOOKUP(S139,'Relação de Rubricas'!C:M,11,0)),"",VLOOKUP(S139,'Relação de Rubricas'!C:M,11,0))</f>
        <v/>
      </c>
    </row>
    <row r="140" spans="19:21" x14ac:dyDescent="0.25">
      <c r="S140" s="42" t="str">
        <f>IF(SUM('Relação de Rubricas'!A122:A598)=0,"",IF($Q$5="","",1+S139))</f>
        <v/>
      </c>
      <c r="T140" s="43" t="str">
        <f>IF(ISERROR(VLOOKUP(S140,'Relação de Rubricas'!C:F,3,0)),"",VLOOKUP(S140,'Relação de Rubricas'!C:F,3,0))</f>
        <v/>
      </c>
      <c r="U140" s="175" t="str">
        <f>IF(ISERROR(VLOOKUP(S140,'Relação de Rubricas'!C:M,11,0)),"",VLOOKUP(S140,'Relação de Rubricas'!C:M,11,0))</f>
        <v/>
      </c>
    </row>
    <row r="141" spans="19:21" x14ac:dyDescent="0.25">
      <c r="S141" s="42" t="str">
        <f>IF(SUM('Relação de Rubricas'!A123:A599)=0,"",IF($Q$5="","",1+S140))</f>
        <v/>
      </c>
      <c r="T141" s="43" t="str">
        <f>IF(ISERROR(VLOOKUP(S141,'Relação de Rubricas'!C:F,3,0)),"",VLOOKUP(S141,'Relação de Rubricas'!C:F,3,0))</f>
        <v/>
      </c>
      <c r="U141" s="175" t="str">
        <f>IF(ISERROR(VLOOKUP(S141,'Relação de Rubricas'!C:M,11,0)),"",VLOOKUP(S141,'Relação de Rubricas'!C:M,11,0))</f>
        <v/>
      </c>
    </row>
    <row r="142" spans="19:21" x14ac:dyDescent="0.25">
      <c r="S142" s="42" t="str">
        <f>IF(SUM('Relação de Rubricas'!A124:A600)=0,"",IF($Q$5="","",1+S141))</f>
        <v/>
      </c>
      <c r="T142" s="43" t="str">
        <f>IF(ISERROR(VLOOKUP(S142,'Relação de Rubricas'!C:F,3,0)),"",VLOOKUP(S142,'Relação de Rubricas'!C:F,3,0))</f>
        <v/>
      </c>
      <c r="U142" s="175" t="str">
        <f>IF(ISERROR(VLOOKUP(S142,'Relação de Rubricas'!C:M,11,0)),"",VLOOKUP(S142,'Relação de Rubricas'!C:M,11,0))</f>
        <v/>
      </c>
    </row>
    <row r="143" spans="19:21" x14ac:dyDescent="0.25">
      <c r="S143" s="42" t="str">
        <f>IF(SUM('Relação de Rubricas'!A125:A601)=0,"",IF($Q$5="","",1+S142))</f>
        <v/>
      </c>
      <c r="T143" s="43" t="str">
        <f>IF(ISERROR(VLOOKUP(S143,'Relação de Rubricas'!C:F,3,0)),"",VLOOKUP(S143,'Relação de Rubricas'!C:F,3,0))</f>
        <v/>
      </c>
      <c r="U143" s="175" t="str">
        <f>IF(ISERROR(VLOOKUP(S143,'Relação de Rubricas'!C:M,11,0)),"",VLOOKUP(S143,'Relação de Rubricas'!C:M,11,0))</f>
        <v/>
      </c>
    </row>
    <row r="144" spans="19:21" x14ac:dyDescent="0.25">
      <c r="S144" s="42" t="str">
        <f>IF(SUM('Relação de Rubricas'!A126:A602)=0,"",IF($Q$5="","",1+S143))</f>
        <v/>
      </c>
      <c r="T144" s="43" t="str">
        <f>IF(ISERROR(VLOOKUP(S144,'Relação de Rubricas'!C:F,3,0)),"",VLOOKUP(S144,'Relação de Rubricas'!C:F,3,0))</f>
        <v/>
      </c>
      <c r="U144" s="175" t="str">
        <f>IF(ISERROR(VLOOKUP(S144,'Relação de Rubricas'!C:M,11,0)),"",VLOOKUP(S144,'Relação de Rubricas'!C:M,11,0))</f>
        <v/>
      </c>
    </row>
    <row r="145" spans="19:21" x14ac:dyDescent="0.25">
      <c r="S145" s="42" t="str">
        <f>IF(SUM('Relação de Rubricas'!A127:A603)=0,"",IF($Q$5="","",1+S144))</f>
        <v/>
      </c>
      <c r="T145" s="43" t="str">
        <f>IF(ISERROR(VLOOKUP(S145,'Relação de Rubricas'!C:F,3,0)),"",VLOOKUP(S145,'Relação de Rubricas'!C:F,3,0))</f>
        <v/>
      </c>
      <c r="U145" s="175" t="str">
        <f>IF(ISERROR(VLOOKUP(S145,'Relação de Rubricas'!C:M,11,0)),"",VLOOKUP(S145,'Relação de Rubricas'!C:M,11,0))</f>
        <v/>
      </c>
    </row>
    <row r="146" spans="19:21" x14ac:dyDescent="0.25">
      <c r="S146" s="42" t="str">
        <f>IF(SUM('Relação de Rubricas'!A128:A604)=0,"",IF($Q$5="","",1+S145))</f>
        <v/>
      </c>
      <c r="T146" s="43" t="str">
        <f>IF(ISERROR(VLOOKUP(S146,'Relação de Rubricas'!C:F,3,0)),"",VLOOKUP(S146,'Relação de Rubricas'!C:F,3,0))</f>
        <v/>
      </c>
      <c r="U146" s="175" t="str">
        <f>IF(ISERROR(VLOOKUP(S146,'Relação de Rubricas'!C:M,11,0)),"",VLOOKUP(S146,'Relação de Rubricas'!C:M,11,0))</f>
        <v/>
      </c>
    </row>
    <row r="147" spans="19:21" x14ac:dyDescent="0.25">
      <c r="S147" s="42" t="str">
        <f>IF(SUM('Relação de Rubricas'!A129:A605)=0,"",IF($Q$5="","",1+S146))</f>
        <v/>
      </c>
      <c r="T147" s="43" t="str">
        <f>IF(ISERROR(VLOOKUP(S147,'Relação de Rubricas'!C:F,3,0)),"",VLOOKUP(S147,'Relação de Rubricas'!C:F,3,0))</f>
        <v/>
      </c>
      <c r="U147" s="175" t="str">
        <f>IF(ISERROR(VLOOKUP(S147,'Relação de Rubricas'!C:M,11,0)),"",VLOOKUP(S147,'Relação de Rubricas'!C:M,11,0))</f>
        <v/>
      </c>
    </row>
    <row r="148" spans="19:21" x14ac:dyDescent="0.25">
      <c r="S148" s="42" t="str">
        <f>IF(SUM('Relação de Rubricas'!A130:A606)=0,"",IF($Q$5="","",1+S147))</f>
        <v/>
      </c>
      <c r="T148" s="43" t="str">
        <f>IF(ISERROR(VLOOKUP(S148,'Relação de Rubricas'!C:F,3,0)),"",VLOOKUP(S148,'Relação de Rubricas'!C:F,3,0))</f>
        <v/>
      </c>
      <c r="U148" s="175" t="str">
        <f>IF(ISERROR(VLOOKUP(S148,'Relação de Rubricas'!C:M,11,0)),"",VLOOKUP(S148,'Relação de Rubricas'!C:M,11,0))</f>
        <v/>
      </c>
    </row>
    <row r="149" spans="19:21" x14ac:dyDescent="0.25">
      <c r="S149" s="42" t="str">
        <f>IF(SUM('Relação de Rubricas'!A131:A607)=0,"",IF($Q$5="","",1+S148))</f>
        <v/>
      </c>
      <c r="T149" s="43" t="str">
        <f>IF(ISERROR(VLOOKUP(S149,'Relação de Rubricas'!C:F,3,0)),"",VLOOKUP(S149,'Relação de Rubricas'!C:F,3,0))</f>
        <v/>
      </c>
      <c r="U149" s="175" t="str">
        <f>IF(ISERROR(VLOOKUP(S149,'Relação de Rubricas'!C:M,11,0)),"",VLOOKUP(S149,'Relação de Rubricas'!C:M,11,0))</f>
        <v/>
      </c>
    </row>
    <row r="150" spans="19:21" x14ac:dyDescent="0.25">
      <c r="S150" s="42" t="str">
        <f>IF(SUM('Relação de Rubricas'!A132:A608)=0,"",IF($Q$5="","",1+S149))</f>
        <v/>
      </c>
      <c r="T150" s="43" t="str">
        <f>IF(ISERROR(VLOOKUP(S150,'Relação de Rubricas'!C:F,3,0)),"",VLOOKUP(S150,'Relação de Rubricas'!C:F,3,0))</f>
        <v/>
      </c>
      <c r="U150" s="175" t="str">
        <f>IF(ISERROR(VLOOKUP(S150,'Relação de Rubricas'!C:M,11,0)),"",VLOOKUP(S150,'Relação de Rubricas'!C:M,11,0))</f>
        <v/>
      </c>
    </row>
    <row r="151" spans="19:21" x14ac:dyDescent="0.25">
      <c r="S151" s="42" t="str">
        <f>IF(SUM('Relação de Rubricas'!A133:A609)=0,"",IF($Q$5="","",1+S150))</f>
        <v/>
      </c>
      <c r="T151" s="43" t="str">
        <f>IF(ISERROR(VLOOKUP(S151,'Relação de Rubricas'!C:F,3,0)),"",VLOOKUP(S151,'Relação de Rubricas'!C:F,3,0))</f>
        <v/>
      </c>
      <c r="U151" s="175" t="str">
        <f>IF(ISERROR(VLOOKUP(S151,'Relação de Rubricas'!C:M,11,0)),"",VLOOKUP(S151,'Relação de Rubricas'!C:M,11,0))</f>
        <v/>
      </c>
    </row>
    <row r="152" spans="19:21" x14ac:dyDescent="0.25">
      <c r="S152" s="42" t="str">
        <f>IF(SUM('Relação de Rubricas'!A134:A610)=0,"",IF($Q$5="","",1+S151))</f>
        <v/>
      </c>
      <c r="T152" s="43" t="str">
        <f>IF(ISERROR(VLOOKUP(S152,'Relação de Rubricas'!C:F,3,0)),"",VLOOKUP(S152,'Relação de Rubricas'!C:F,3,0))</f>
        <v/>
      </c>
      <c r="U152" s="175" t="str">
        <f>IF(ISERROR(VLOOKUP(S152,'Relação de Rubricas'!C:M,11,0)),"",VLOOKUP(S152,'Relação de Rubricas'!C:M,11,0))</f>
        <v/>
      </c>
    </row>
    <row r="153" spans="19:21" x14ac:dyDescent="0.25">
      <c r="S153" s="42" t="str">
        <f>IF(SUM('Relação de Rubricas'!A135:A611)=0,"",IF($Q$5="","",1+S152))</f>
        <v/>
      </c>
      <c r="T153" s="43" t="str">
        <f>IF(ISERROR(VLOOKUP(S153,'Relação de Rubricas'!C:F,3,0)),"",VLOOKUP(S153,'Relação de Rubricas'!C:F,3,0))</f>
        <v/>
      </c>
      <c r="U153" s="175" t="str">
        <f>IF(ISERROR(VLOOKUP(S153,'Relação de Rubricas'!C:M,11,0)),"",VLOOKUP(S153,'Relação de Rubricas'!C:M,11,0))</f>
        <v/>
      </c>
    </row>
    <row r="154" spans="19:21" x14ac:dyDescent="0.25">
      <c r="S154" s="42" t="str">
        <f>IF(SUM('Relação de Rubricas'!A136:A612)=0,"",IF($Q$5="","",1+S153))</f>
        <v/>
      </c>
      <c r="T154" s="43" t="str">
        <f>IF(ISERROR(VLOOKUP(S154,'Relação de Rubricas'!C:F,3,0)),"",VLOOKUP(S154,'Relação de Rubricas'!C:F,3,0))</f>
        <v/>
      </c>
      <c r="U154" s="175" t="str">
        <f>IF(ISERROR(VLOOKUP(S154,'Relação de Rubricas'!C:M,11,0)),"",VLOOKUP(S154,'Relação de Rubricas'!C:M,11,0))</f>
        <v/>
      </c>
    </row>
    <row r="155" spans="19:21" x14ac:dyDescent="0.25">
      <c r="S155" s="42" t="str">
        <f>IF(SUM('Relação de Rubricas'!A137:A613)=0,"",IF($Q$5="","",1+S154))</f>
        <v/>
      </c>
      <c r="T155" s="43" t="str">
        <f>IF(ISERROR(VLOOKUP(S155,'Relação de Rubricas'!C:F,3,0)),"",VLOOKUP(S155,'Relação de Rubricas'!C:F,3,0))</f>
        <v/>
      </c>
      <c r="U155" s="175" t="str">
        <f>IF(ISERROR(VLOOKUP(S155,'Relação de Rubricas'!C:M,11,0)),"",VLOOKUP(S155,'Relação de Rubricas'!C:M,11,0))</f>
        <v/>
      </c>
    </row>
    <row r="156" spans="19:21" x14ac:dyDescent="0.25">
      <c r="S156" s="42" t="str">
        <f>IF(SUM('Relação de Rubricas'!A138:A614)=0,"",IF($Q$5="","",1+S155))</f>
        <v/>
      </c>
      <c r="T156" s="43" t="str">
        <f>IF(ISERROR(VLOOKUP(S156,'Relação de Rubricas'!C:F,3,0)),"",VLOOKUP(S156,'Relação de Rubricas'!C:F,3,0))</f>
        <v/>
      </c>
      <c r="U156" s="175" t="str">
        <f>IF(ISERROR(VLOOKUP(S156,'Relação de Rubricas'!C:M,11,0)),"",VLOOKUP(S156,'Relação de Rubricas'!C:M,11,0))</f>
        <v/>
      </c>
    </row>
    <row r="157" spans="19:21" x14ac:dyDescent="0.25">
      <c r="S157" s="42" t="str">
        <f>IF(SUM('Relação de Rubricas'!A139:A615)=0,"",IF($Q$5="","",1+S156))</f>
        <v/>
      </c>
      <c r="T157" s="43" t="str">
        <f>IF(ISERROR(VLOOKUP(S157,'Relação de Rubricas'!C:F,3,0)),"",VLOOKUP(S157,'Relação de Rubricas'!C:F,3,0))</f>
        <v/>
      </c>
      <c r="U157" s="175" t="str">
        <f>IF(ISERROR(VLOOKUP(S157,'Relação de Rubricas'!C:M,11,0)),"",VLOOKUP(S157,'Relação de Rubricas'!C:M,11,0))</f>
        <v/>
      </c>
    </row>
    <row r="158" spans="19:21" x14ac:dyDescent="0.25">
      <c r="S158" s="42" t="str">
        <f>IF(SUM('Relação de Rubricas'!A140:A616)=0,"",IF($Q$5="","",1+S157))</f>
        <v/>
      </c>
      <c r="T158" s="43" t="str">
        <f>IF(ISERROR(VLOOKUP(S158,'Relação de Rubricas'!C:F,3,0)),"",VLOOKUP(S158,'Relação de Rubricas'!C:F,3,0))</f>
        <v/>
      </c>
      <c r="U158" s="175" t="str">
        <f>IF(ISERROR(VLOOKUP(S158,'Relação de Rubricas'!C:M,11,0)),"",VLOOKUP(S158,'Relação de Rubricas'!C:M,11,0))</f>
        <v/>
      </c>
    </row>
    <row r="159" spans="19:21" x14ac:dyDescent="0.25">
      <c r="S159" s="42" t="str">
        <f>IF(SUM('Relação de Rubricas'!A141:A617)=0,"",IF($Q$5="","",1+S158))</f>
        <v/>
      </c>
      <c r="T159" s="43" t="str">
        <f>IF(ISERROR(VLOOKUP(S159,'Relação de Rubricas'!C:F,3,0)),"",VLOOKUP(S159,'Relação de Rubricas'!C:F,3,0))</f>
        <v/>
      </c>
      <c r="U159" s="175" t="str">
        <f>IF(ISERROR(VLOOKUP(S159,'Relação de Rubricas'!C:M,11,0)),"",VLOOKUP(S159,'Relação de Rubricas'!C:M,11,0))</f>
        <v/>
      </c>
    </row>
    <row r="160" spans="19:21" x14ac:dyDescent="0.25">
      <c r="S160" s="42" t="str">
        <f>IF(SUM('Relação de Rubricas'!A142:A618)=0,"",IF($Q$5="","",1+S159))</f>
        <v/>
      </c>
      <c r="T160" s="43" t="str">
        <f>IF(ISERROR(VLOOKUP(S160,'Relação de Rubricas'!C:F,3,0)),"",VLOOKUP(S160,'Relação de Rubricas'!C:F,3,0))</f>
        <v/>
      </c>
      <c r="U160" s="175" t="str">
        <f>IF(ISERROR(VLOOKUP(S160,'Relação de Rubricas'!C:M,11,0)),"",VLOOKUP(S160,'Relação de Rubricas'!C:M,11,0))</f>
        <v/>
      </c>
    </row>
    <row r="161" spans="19:21" x14ac:dyDescent="0.25">
      <c r="S161" s="42" t="str">
        <f>IF(SUM('Relação de Rubricas'!A143:A619)=0,"",IF($Q$5="","",1+S160))</f>
        <v/>
      </c>
      <c r="T161" s="43" t="str">
        <f>IF(ISERROR(VLOOKUP(S161,'Relação de Rubricas'!C:F,3,0)),"",VLOOKUP(S161,'Relação de Rubricas'!C:F,3,0))</f>
        <v/>
      </c>
      <c r="U161" s="175" t="str">
        <f>IF(ISERROR(VLOOKUP(S161,'Relação de Rubricas'!C:M,11,0)),"",VLOOKUP(S161,'Relação de Rubricas'!C:M,11,0))</f>
        <v/>
      </c>
    </row>
    <row r="162" spans="19:21" x14ac:dyDescent="0.25">
      <c r="S162" s="42" t="str">
        <f>IF(SUM('Relação de Rubricas'!A144:A620)=0,"",IF($Q$5="","",1+S161))</f>
        <v/>
      </c>
      <c r="T162" s="43" t="str">
        <f>IF(ISERROR(VLOOKUP(S162,'Relação de Rubricas'!C:F,3,0)),"",VLOOKUP(S162,'Relação de Rubricas'!C:F,3,0))</f>
        <v/>
      </c>
      <c r="U162" s="175" t="str">
        <f>IF(ISERROR(VLOOKUP(S162,'Relação de Rubricas'!C:M,11,0)),"",VLOOKUP(S162,'Relação de Rubricas'!C:M,11,0))</f>
        <v/>
      </c>
    </row>
    <row r="163" spans="19:21" x14ac:dyDescent="0.25">
      <c r="S163" s="42" t="str">
        <f>IF(SUM('Relação de Rubricas'!A145:A621)=0,"",IF($Q$5="","",1+S162))</f>
        <v/>
      </c>
      <c r="T163" s="43" t="str">
        <f>IF(ISERROR(VLOOKUP(S163,'Relação de Rubricas'!C:F,3,0)),"",VLOOKUP(S163,'Relação de Rubricas'!C:F,3,0))</f>
        <v/>
      </c>
      <c r="U163" s="175" t="str">
        <f>IF(ISERROR(VLOOKUP(S163,'Relação de Rubricas'!C:M,11,0)),"",VLOOKUP(S163,'Relação de Rubricas'!C:M,11,0))</f>
        <v/>
      </c>
    </row>
    <row r="164" spans="19:21" x14ac:dyDescent="0.25">
      <c r="S164" s="42" t="str">
        <f>IF(SUM('Relação de Rubricas'!A146:A622)=0,"",IF($Q$5="","",1+S163))</f>
        <v/>
      </c>
      <c r="T164" s="43" t="str">
        <f>IF(ISERROR(VLOOKUP(S164,'Relação de Rubricas'!C:F,3,0)),"",VLOOKUP(S164,'Relação de Rubricas'!C:F,3,0))</f>
        <v/>
      </c>
      <c r="U164" s="175" t="str">
        <f>IF(ISERROR(VLOOKUP(S164,'Relação de Rubricas'!C:M,11,0)),"",VLOOKUP(S164,'Relação de Rubricas'!C:M,11,0))</f>
        <v/>
      </c>
    </row>
    <row r="165" spans="19:21" x14ac:dyDescent="0.25">
      <c r="S165" s="42" t="str">
        <f>IF(SUM('Relação de Rubricas'!A147:A623)=0,"",IF($Q$5="","",1+S164))</f>
        <v/>
      </c>
      <c r="T165" s="43" t="str">
        <f>IF(ISERROR(VLOOKUP(S165,'Relação de Rubricas'!C:F,3,0)),"",VLOOKUP(S165,'Relação de Rubricas'!C:F,3,0))</f>
        <v/>
      </c>
      <c r="U165" s="175" t="str">
        <f>IF(ISERROR(VLOOKUP(S165,'Relação de Rubricas'!C:M,11,0)),"",VLOOKUP(S165,'Relação de Rubricas'!C:M,11,0))</f>
        <v/>
      </c>
    </row>
    <row r="166" spans="19:21" x14ac:dyDescent="0.25">
      <c r="S166" s="42" t="str">
        <f>IF(SUM('Relação de Rubricas'!A148:A624)=0,"",IF($Q$5="","",1+S165))</f>
        <v/>
      </c>
      <c r="T166" s="43" t="str">
        <f>IF(ISERROR(VLOOKUP(S166,'Relação de Rubricas'!C:F,3,0)),"",VLOOKUP(S166,'Relação de Rubricas'!C:F,3,0))</f>
        <v/>
      </c>
      <c r="U166" s="175" t="str">
        <f>IF(ISERROR(VLOOKUP(S166,'Relação de Rubricas'!C:M,11,0)),"",VLOOKUP(S166,'Relação de Rubricas'!C:M,11,0))</f>
        <v/>
      </c>
    </row>
    <row r="167" spans="19:21" x14ac:dyDescent="0.25">
      <c r="S167" s="42" t="str">
        <f>IF(SUM('Relação de Rubricas'!A149:A625)=0,"",IF($Q$5="","",1+S166))</f>
        <v/>
      </c>
      <c r="T167" s="43" t="str">
        <f>IF(ISERROR(VLOOKUP(S167,'Relação de Rubricas'!C:F,3,0)),"",VLOOKUP(S167,'Relação de Rubricas'!C:F,3,0))</f>
        <v/>
      </c>
      <c r="U167" s="175" t="str">
        <f>IF(ISERROR(VLOOKUP(S167,'Relação de Rubricas'!C:M,11,0)),"",VLOOKUP(S167,'Relação de Rubricas'!C:M,11,0))</f>
        <v/>
      </c>
    </row>
    <row r="168" spans="19:21" x14ac:dyDescent="0.25">
      <c r="S168" s="42" t="str">
        <f>IF(SUM('Relação de Rubricas'!A150:A626)=0,"",IF($Q$5="","",1+S167))</f>
        <v/>
      </c>
      <c r="T168" s="43" t="str">
        <f>IF(ISERROR(VLOOKUP(S168,'Relação de Rubricas'!C:F,3,0)),"",VLOOKUP(S168,'Relação de Rubricas'!C:F,3,0))</f>
        <v/>
      </c>
      <c r="U168" s="175" t="str">
        <f>IF(ISERROR(VLOOKUP(S168,'Relação de Rubricas'!C:M,11,0)),"",VLOOKUP(S168,'Relação de Rubricas'!C:M,11,0))</f>
        <v/>
      </c>
    </row>
    <row r="169" spans="19:21" x14ac:dyDescent="0.25">
      <c r="S169" s="42" t="str">
        <f>IF(SUM('Relação de Rubricas'!A151:A627)=0,"",IF($Q$5="","",1+S168))</f>
        <v/>
      </c>
      <c r="T169" s="43" t="str">
        <f>IF(ISERROR(VLOOKUP(S169,'Relação de Rubricas'!C:F,3,0)),"",VLOOKUP(S169,'Relação de Rubricas'!C:F,3,0))</f>
        <v/>
      </c>
      <c r="U169" s="175" t="str">
        <f>IF(ISERROR(VLOOKUP(S169,'Relação de Rubricas'!C:M,11,0)),"",VLOOKUP(S169,'Relação de Rubricas'!C:M,11,0))</f>
        <v/>
      </c>
    </row>
    <row r="170" spans="19:21" x14ac:dyDescent="0.25">
      <c r="S170" s="42" t="str">
        <f>IF(SUM('Relação de Rubricas'!A152:A628)=0,"",IF($Q$5="","",1+S169))</f>
        <v/>
      </c>
      <c r="T170" s="43" t="str">
        <f>IF(ISERROR(VLOOKUP(S170,'Relação de Rubricas'!C:F,3,0)),"",VLOOKUP(S170,'Relação de Rubricas'!C:F,3,0))</f>
        <v/>
      </c>
      <c r="U170" s="175" t="str">
        <f>IF(ISERROR(VLOOKUP(S170,'Relação de Rubricas'!C:M,11,0)),"",VLOOKUP(S170,'Relação de Rubricas'!C:M,11,0))</f>
        <v/>
      </c>
    </row>
    <row r="171" spans="19:21" x14ac:dyDescent="0.25">
      <c r="S171" s="42" t="str">
        <f>IF(SUM('Relação de Rubricas'!A153:A629)=0,"",IF($Q$5="","",1+S170))</f>
        <v/>
      </c>
      <c r="T171" s="43" t="str">
        <f>IF(ISERROR(VLOOKUP(S171,'Relação de Rubricas'!C:F,3,0)),"",VLOOKUP(S171,'Relação de Rubricas'!C:F,3,0))</f>
        <v/>
      </c>
      <c r="U171" s="175" t="str">
        <f>IF(ISERROR(VLOOKUP(S171,'Relação de Rubricas'!C:M,11,0)),"",VLOOKUP(S171,'Relação de Rubricas'!C:M,11,0))</f>
        <v/>
      </c>
    </row>
  </sheetData>
  <sheetProtection algorithmName="SHA-512" hashValue="FOHk4YEbYOQDwIU7lxYx6KVXuIT+Fw3KjVfODR98/DOeLJsP03rA3nbuNIPh1+uEs35gTlOHiTGfcnQRDM/T7g==" saltValue="vFTYtEipjFOW5a7jCzp1vA==" spinCount="100000" sheet="1" objects="1" scenarios="1"/>
  <sortState ref="Q26:R30">
    <sortCondition ref="Q26"/>
  </sortState>
  <dataConsolidate/>
  <mergeCells count="15">
    <mergeCell ref="B65:B69"/>
    <mergeCell ref="C20:D20"/>
    <mergeCell ref="H20:I20"/>
    <mergeCell ref="C65:K69"/>
    <mergeCell ref="L19:M21"/>
    <mergeCell ref="Q10:Q11"/>
    <mergeCell ref="S18:U18"/>
    <mergeCell ref="H10:K10"/>
    <mergeCell ref="H11:I11"/>
    <mergeCell ref="B3:L3"/>
    <mergeCell ref="B5:L5"/>
    <mergeCell ref="B6:L6"/>
    <mergeCell ref="C10:D10"/>
    <mergeCell ref="B4:L4"/>
    <mergeCell ref="E10:F10"/>
  </mergeCells>
  <conditionalFormatting sqref="Q10">
    <cfRule type="expression" dxfId="12" priority="25">
      <formula>$T$22=""</formula>
    </cfRule>
  </conditionalFormatting>
  <conditionalFormatting sqref="Q10">
    <cfRule type="expression" dxfId="11" priority="26">
      <formula>$T$22&lt;&gt;""</formula>
    </cfRule>
  </conditionalFormatting>
  <conditionalFormatting sqref="L10">
    <cfRule type="expression" dxfId="10" priority="28">
      <formula>(OR($K$11&gt;$K$13,#REF!&gt;$K$13))</formula>
    </cfRule>
  </conditionalFormatting>
  <conditionalFormatting sqref="I23:I61">
    <cfRule type="expression" dxfId="9" priority="15">
      <formula>L23="Sim"</formula>
    </cfRule>
  </conditionalFormatting>
  <conditionalFormatting sqref="L23:L61">
    <cfRule type="expression" dxfId="8" priority="13">
      <formula>L23="Sim"</formula>
    </cfRule>
  </conditionalFormatting>
  <conditionalFormatting sqref="K27:K61">
    <cfRule type="expression" dxfId="7" priority="9">
      <formula>L27="Sim"</formula>
    </cfRule>
  </conditionalFormatting>
  <conditionalFormatting sqref="K23:K25">
    <cfRule type="expression" dxfId="6" priority="11">
      <formula>L23="Sim"</formula>
    </cfRule>
  </conditionalFormatting>
  <conditionalFormatting sqref="K26">
    <cfRule type="expression" dxfId="5" priority="10">
      <formula>L26="Sim"</formula>
    </cfRule>
  </conditionalFormatting>
  <conditionalFormatting sqref="E10">
    <cfRule type="expression" dxfId="4" priority="7">
      <formula>$E$10&lt;&gt;""</formula>
    </cfRule>
  </conditionalFormatting>
  <conditionalFormatting sqref="I22:I61">
    <cfRule type="expression" dxfId="3" priority="3">
      <formula>L22="Sim"</formula>
    </cfRule>
  </conditionalFormatting>
  <conditionalFormatting sqref="L22">
    <cfRule type="expression" dxfId="2" priority="2">
      <formula>L22="Sim"</formula>
    </cfRule>
  </conditionalFormatting>
  <conditionalFormatting sqref="K22:K61">
    <cfRule type="expression" dxfId="1" priority="1">
      <formula>L22="Sim"</formula>
    </cfRule>
  </conditionalFormatting>
  <conditionalFormatting sqref="C10:D10">
    <cfRule type="expression" dxfId="0" priority="29">
      <formula>$E$10&lt;&gt;""</formula>
    </cfRule>
  </conditionalFormatting>
  <dataValidations count="3">
    <dataValidation type="decimal" allowBlank="1" showInputMessage="1" showErrorMessage="1" errorTitle="Erro! Valor negativo!" sqref="J22:K61 E22:F61">
      <formula1>0</formula1>
      <formula2>1000000</formula2>
    </dataValidation>
    <dataValidation type="list" allowBlank="1" showInputMessage="1" showErrorMessage="1" errorTitle="Erro! Valor negativo!" sqref="L22:L61">
      <formula1>$Q$23:$Q$24</formula1>
    </dataValidation>
    <dataValidation type="list" showInputMessage="1" showErrorMessage="1" sqref="E10:F10">
      <formula1>$Q$26:$Q$32</formula1>
    </dataValidation>
  </dataValidations>
  <printOptions horizontalCentered="1"/>
  <pageMargins left="0" right="0" top="0" bottom="0" header="0" footer="0"/>
  <pageSetup paperSize="9" scale="72" orientation="portrait" r:id="rId1"/>
  <drawing r:id="rId2"/>
  <legacyDrawing r:id="rId3"/>
  <controls>
    <mc:AlternateContent xmlns:mc="http://schemas.openxmlformats.org/markup-compatibility/2006">
      <mc:Choice Requires="x14">
        <control shapeId="1029" r:id="rId4" name="TempCombo">
          <controlPr defaultSize="0" autoLine="0" r:id="rId5">
            <anchor moveWithCells="1">
              <from>
                <xdr:col>1</xdr:col>
                <xdr:colOff>28575</xdr:colOff>
                <xdr:row>1</xdr:row>
                <xdr:rowOff>28575</xdr:rowOff>
              </from>
              <to>
                <xdr:col>1</xdr:col>
                <xdr:colOff>38100</xdr:colOff>
                <xdr:row>2</xdr:row>
                <xdr:rowOff>66675</xdr:rowOff>
              </to>
            </anchor>
          </controlPr>
        </control>
      </mc:Choice>
      <mc:Fallback>
        <control shapeId="1029" r:id="rId4" name="TempCombo"/>
      </mc:Fallback>
    </mc:AlternateContent>
    <mc:AlternateContent xmlns:mc="http://schemas.openxmlformats.org/markup-compatibility/2006">
      <mc:Choice Requires="x14">
        <control shapeId="1026" r:id="rId6" name="Button 2">
          <controlPr defaultSize="0" autoFill="0" autoPict="0" macro="[0]!Limpar_Campos_2">
            <anchor moveWithCells="1" sizeWithCells="1">
              <from>
                <xdr:col>2</xdr:col>
                <xdr:colOff>38100</xdr:colOff>
                <xdr:row>11</xdr:row>
                <xdr:rowOff>57150</xdr:rowOff>
              </from>
              <to>
                <xdr:col>3</xdr:col>
                <xdr:colOff>981075</xdr:colOff>
                <xdr:row>14</xdr:row>
                <xdr:rowOff>85725</xdr:rowOff>
              </to>
            </anchor>
          </controlPr>
        </control>
      </mc:Choice>
    </mc:AlternateContent>
    <mc:AlternateContent xmlns:mc="http://schemas.openxmlformats.org/markup-compatibility/2006">
      <mc:Choice Requires="x14">
        <control shapeId="1027" r:id="rId7" name="Button 3">
          <controlPr defaultSize="0" autoFill="0" autoPict="0" macro="[0]!Imprimir_Simulador">
            <anchor moveWithCells="1" sizeWithCells="1">
              <from>
                <xdr:col>3</xdr:col>
                <xdr:colOff>1057275</xdr:colOff>
                <xdr:row>11</xdr:row>
                <xdr:rowOff>57150</xdr:rowOff>
              </from>
              <to>
                <xdr:col>3</xdr:col>
                <xdr:colOff>2695575</xdr:colOff>
                <xdr:row>14</xdr:row>
                <xdr:rowOff>85725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Verbas!$E$2:$E$150</xm:f>
          </x14:formula1>
          <xm:sqref>D22:D61</xm:sqref>
        </x14:dataValidation>
        <x14:dataValidation type="list" allowBlank="1" showInputMessage="1" showErrorMessage="1">
          <x14:formula1>
            <xm:f>Verbas!$F$2:$F$25</xm:f>
          </x14:formula1>
          <xm:sqref>I22:I61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V63"/>
  <sheetViews>
    <sheetView showGridLines="0" showRowColHeaders="0" zoomScaleNormal="100" workbookViewId="0">
      <selection activeCell="A22" sqref="A22"/>
    </sheetView>
  </sheetViews>
  <sheetFormatPr defaultColWidth="0" defaultRowHeight="12.75" zeroHeight="1" x14ac:dyDescent="0.2"/>
  <cols>
    <col min="1" max="1" width="0.7109375" style="4" customWidth="1"/>
    <col min="2" max="2" width="3.42578125" style="4" bestFit="1" customWidth="1"/>
    <col min="3" max="3" width="29.28515625" style="4" customWidth="1"/>
    <col min="4" max="4" width="10.7109375" style="4" customWidth="1"/>
    <col min="5" max="5" width="9.140625" style="19" bestFit="1" customWidth="1"/>
    <col min="6" max="6" width="5.28515625" style="19" bestFit="1" customWidth="1"/>
    <col min="7" max="10" width="10.7109375" style="76" customWidth="1"/>
    <col min="11" max="11" width="3.42578125" style="4" bestFit="1" customWidth="1"/>
    <col min="12" max="12" width="26.85546875" style="4" customWidth="1"/>
    <col min="13" max="13" width="10.7109375" style="4" customWidth="1"/>
    <col min="14" max="14" width="5.28515625" style="4" bestFit="1" customWidth="1"/>
    <col min="15" max="19" width="10.7109375" style="4" customWidth="1"/>
    <col min="20" max="20" width="10.7109375" style="76" customWidth="1"/>
    <col min="21" max="22" width="1.85546875" style="4" customWidth="1"/>
    <col min="23" max="16384" width="9.140625" style="4" hidden="1"/>
  </cols>
  <sheetData>
    <row r="1" spans="2:20" ht="3.95" customHeight="1" x14ac:dyDescent="0.2"/>
    <row r="2" spans="2:20" ht="28.5" customHeight="1" x14ac:dyDescent="0.2">
      <c r="B2" s="278" t="s">
        <v>28</v>
      </c>
      <c r="C2" s="279"/>
      <c r="D2" s="279"/>
      <c r="E2" s="279"/>
      <c r="F2" s="279"/>
      <c r="G2" s="279"/>
      <c r="H2" s="279"/>
      <c r="I2" s="279"/>
      <c r="J2" s="279"/>
      <c r="K2" s="279"/>
      <c r="L2" s="279"/>
      <c r="M2" s="279"/>
      <c r="N2" s="279"/>
      <c r="O2" s="279"/>
      <c r="P2" s="279"/>
      <c r="Q2" s="279"/>
      <c r="R2" s="279"/>
      <c r="S2" s="279"/>
      <c r="T2" s="280"/>
    </row>
    <row r="3" spans="2:20" ht="6.95" customHeight="1" x14ac:dyDescent="0.2">
      <c r="B3" s="97"/>
      <c r="C3" s="115"/>
      <c r="D3" s="115"/>
      <c r="E3" s="113"/>
      <c r="F3" s="113"/>
      <c r="G3" s="113"/>
      <c r="H3" s="113"/>
      <c r="I3" s="113"/>
      <c r="J3" s="113"/>
      <c r="K3" s="113"/>
      <c r="L3" s="99"/>
      <c r="M3" s="98"/>
      <c r="N3" s="98"/>
      <c r="O3" s="98"/>
      <c r="P3" s="98"/>
      <c r="Q3" s="98"/>
      <c r="R3" s="98"/>
      <c r="S3" s="98"/>
      <c r="T3" s="100"/>
    </row>
    <row r="4" spans="2:20" x14ac:dyDescent="0.2">
      <c r="B4" s="97"/>
      <c r="C4" s="283" t="s">
        <v>238</v>
      </c>
      <c r="D4" s="284"/>
      <c r="E4" s="112"/>
      <c r="F4" s="112"/>
      <c r="G4" s="112"/>
      <c r="H4" s="112"/>
      <c r="I4" s="112"/>
      <c r="J4" s="112"/>
      <c r="K4" s="98"/>
      <c r="L4" s="98"/>
      <c r="M4" s="98"/>
      <c r="N4" s="98"/>
      <c r="O4" s="98"/>
      <c r="P4" s="98"/>
      <c r="Q4" s="98"/>
      <c r="R4" s="98"/>
      <c r="S4" s="98"/>
      <c r="T4" s="100"/>
    </row>
    <row r="5" spans="2:20" x14ac:dyDescent="0.2">
      <c r="B5" s="97"/>
      <c r="C5" s="87" t="s">
        <v>27</v>
      </c>
      <c r="D5" s="92">
        <f>IF(OR($M$15="Admitido",$M$15="Efetivo/Ativo",$M$15="Estab.Constit"),(G21-P21)*30%,(I21-R21)*30%)</f>
        <v>0</v>
      </c>
      <c r="E5" s="112"/>
      <c r="F5" s="112"/>
      <c r="G5" s="112"/>
      <c r="H5" s="112"/>
      <c r="I5" s="112"/>
      <c r="J5" s="112"/>
      <c r="K5" s="98"/>
      <c r="L5" s="98"/>
      <c r="M5" s="98"/>
      <c r="N5" s="98"/>
      <c r="O5" s="98"/>
      <c r="P5" s="98"/>
      <c r="Q5" s="98"/>
      <c r="R5" s="98"/>
      <c r="S5" s="98"/>
      <c r="T5" s="100"/>
    </row>
    <row r="6" spans="2:20" x14ac:dyDescent="0.2">
      <c r="B6" s="97"/>
      <c r="C6" s="86" t="s">
        <v>29</v>
      </c>
      <c r="D6" s="93">
        <f>IF(OR($M$15="Admitido",$M$15="Efetivo/Ativo",$M$15="Estab.Constit"),O21,Q21)</f>
        <v>0</v>
      </c>
      <c r="E6" s="112"/>
      <c r="F6" s="112"/>
      <c r="G6" s="112"/>
      <c r="H6" s="112"/>
      <c r="I6" s="112"/>
      <c r="J6" s="112"/>
      <c r="K6" s="98"/>
      <c r="L6" s="98"/>
      <c r="M6" s="98"/>
      <c r="N6" s="98"/>
      <c r="O6" s="98"/>
      <c r="P6" s="98"/>
      <c r="Q6" s="98"/>
      <c r="R6" s="98"/>
      <c r="S6" s="98"/>
      <c r="T6" s="100"/>
    </row>
    <row r="7" spans="2:20" x14ac:dyDescent="0.2">
      <c r="B7" s="97"/>
      <c r="C7" s="94" t="s">
        <v>32</v>
      </c>
      <c r="D7" s="95">
        <f>D5-D6</f>
        <v>0</v>
      </c>
      <c r="E7" s="112"/>
      <c r="F7" s="112"/>
      <c r="G7" s="112"/>
      <c r="H7" s="112"/>
      <c r="I7" s="112"/>
      <c r="J7" s="112"/>
      <c r="K7" s="112"/>
      <c r="L7" s="291" t="s">
        <v>30</v>
      </c>
      <c r="M7" s="292"/>
      <c r="N7" s="98"/>
      <c r="O7" s="98"/>
      <c r="P7" s="98"/>
      <c r="Q7" s="98"/>
      <c r="R7" s="98"/>
      <c r="S7" s="98"/>
      <c r="T7" s="100"/>
    </row>
    <row r="8" spans="2:20" ht="3" customHeight="1" x14ac:dyDescent="0.2">
      <c r="B8" s="97"/>
      <c r="C8" s="112"/>
      <c r="D8" s="112"/>
      <c r="E8" s="112"/>
      <c r="F8" s="112"/>
      <c r="G8" s="112"/>
      <c r="H8" s="112"/>
      <c r="I8" s="112"/>
      <c r="J8" s="112"/>
      <c r="K8" s="112"/>
      <c r="L8" s="98"/>
      <c r="M8" s="98"/>
      <c r="N8" s="98"/>
      <c r="O8" s="98"/>
      <c r="P8" s="98"/>
      <c r="Q8" s="98"/>
      <c r="R8" s="98"/>
      <c r="S8" s="98"/>
      <c r="T8" s="100"/>
    </row>
    <row r="9" spans="2:20" ht="12.75" customHeight="1" x14ac:dyDescent="0.2">
      <c r="B9" s="112"/>
      <c r="C9" s="283" t="s">
        <v>239</v>
      </c>
      <c r="D9" s="284"/>
      <c r="E9" s="272" t="s">
        <v>244</v>
      </c>
      <c r="F9" s="273"/>
      <c r="G9" s="273"/>
      <c r="H9" s="273"/>
      <c r="I9" s="112"/>
      <c r="J9" s="112"/>
      <c r="K9" s="112"/>
      <c r="L9" s="188" t="s">
        <v>37</v>
      </c>
      <c r="M9" s="96">
        <f>D7</f>
        <v>0</v>
      </c>
      <c r="N9" s="98"/>
      <c r="O9" s="98"/>
      <c r="P9" s="98"/>
      <c r="Q9" s="98"/>
      <c r="R9" s="98"/>
      <c r="S9" s="98"/>
      <c r="T9" s="100"/>
    </row>
    <row r="10" spans="2:20" x14ac:dyDescent="0.2">
      <c r="B10" s="112"/>
      <c r="C10" s="87" t="s">
        <v>27</v>
      </c>
      <c r="D10" s="92">
        <f>IF(OR($M$15="Admitido",$M$15="Efetivo/Ativo",$M$15="Estab.Constit"),H21*35%,J21*35%)</f>
        <v>0</v>
      </c>
      <c r="E10" s="272"/>
      <c r="F10" s="273"/>
      <c r="G10" s="273"/>
      <c r="H10" s="273"/>
      <c r="I10" s="112"/>
      <c r="J10" s="112"/>
      <c r="K10" s="112"/>
      <c r="L10" s="188" t="s">
        <v>12</v>
      </c>
      <c r="M10" s="96">
        <f>M9+T21</f>
        <v>0</v>
      </c>
      <c r="N10" s="98"/>
      <c r="O10" s="98"/>
      <c r="P10" s="98"/>
      <c r="Q10" s="98"/>
      <c r="R10" s="98"/>
      <c r="S10" s="98"/>
      <c r="T10" s="100"/>
    </row>
    <row r="11" spans="2:20" x14ac:dyDescent="0.2">
      <c r="B11" s="112"/>
      <c r="C11" s="86" t="s">
        <v>237</v>
      </c>
      <c r="D11" s="93">
        <f>IF(OR($M$15="Admitido",$M$15="Efetivo/Ativo",$M$15="Estab.Constit"),P21,R21)</f>
        <v>0</v>
      </c>
      <c r="E11" s="272"/>
      <c r="F11" s="273"/>
      <c r="G11" s="273"/>
      <c r="H11" s="273"/>
      <c r="I11" s="219"/>
      <c r="J11" s="112"/>
      <c r="K11" s="112"/>
      <c r="L11" s="98"/>
      <c r="M11" s="103"/>
      <c r="N11" s="103"/>
      <c r="O11" s="98"/>
      <c r="P11" s="98"/>
      <c r="Q11" s="98"/>
      <c r="R11" s="98"/>
      <c r="S11" s="98"/>
      <c r="T11" s="100"/>
    </row>
    <row r="12" spans="2:20" x14ac:dyDescent="0.2">
      <c r="B12" s="112"/>
      <c r="C12" s="215" t="s">
        <v>32</v>
      </c>
      <c r="D12" s="216">
        <f>D10-D11</f>
        <v>0</v>
      </c>
      <c r="E12" s="272"/>
      <c r="F12" s="273"/>
      <c r="G12" s="273"/>
      <c r="H12" s="273"/>
      <c r="I12" s="112"/>
      <c r="J12" s="112"/>
      <c r="K12" s="112"/>
      <c r="L12" s="98"/>
      <c r="M12" s="103"/>
      <c r="N12" s="103"/>
      <c r="O12" s="98"/>
      <c r="P12" s="98"/>
      <c r="Q12" s="98"/>
      <c r="R12" s="98"/>
      <c r="S12" s="98"/>
      <c r="T12" s="100"/>
    </row>
    <row r="13" spans="2:20" ht="6.95" customHeight="1" x14ac:dyDescent="0.2">
      <c r="B13" s="104"/>
      <c r="C13" s="101"/>
      <c r="D13" s="105"/>
      <c r="E13" s="114"/>
      <c r="F13" s="114"/>
      <c r="G13" s="114"/>
      <c r="H13" s="114"/>
      <c r="I13" s="114"/>
      <c r="J13" s="114"/>
      <c r="K13" s="114"/>
      <c r="L13" s="101"/>
      <c r="M13" s="101"/>
      <c r="N13" s="101"/>
      <c r="O13" s="101"/>
      <c r="P13" s="101"/>
      <c r="Q13" s="101"/>
      <c r="R13" s="101"/>
      <c r="S13" s="101"/>
      <c r="T13" s="102"/>
    </row>
    <row r="14" spans="2:20" s="71" customFormat="1" ht="3.75" customHeight="1" x14ac:dyDescent="0.2">
      <c r="B14" s="84"/>
      <c r="C14" s="84"/>
      <c r="D14" s="85"/>
      <c r="E14" s="84"/>
      <c r="F14" s="84"/>
      <c r="G14" s="84"/>
      <c r="H14" s="84"/>
      <c r="I14" s="84"/>
      <c r="J14" s="84"/>
      <c r="K14" s="84"/>
      <c r="L14" s="84"/>
      <c r="M14" s="84"/>
      <c r="N14" s="84"/>
      <c r="O14" s="84"/>
      <c r="P14" s="84"/>
      <c r="Q14" s="84"/>
      <c r="R14" s="84"/>
      <c r="S14" s="84"/>
      <c r="T14" s="84"/>
    </row>
    <row r="15" spans="2:20" ht="20.25" thickBot="1" x14ac:dyDescent="0.25">
      <c r="B15" s="130"/>
      <c r="C15" s="131" t="s">
        <v>21</v>
      </c>
      <c r="D15" s="132">
        <f>Simulador!F11</f>
        <v>999</v>
      </c>
      <c r="E15" s="135" t="s">
        <v>34</v>
      </c>
      <c r="F15" s="135"/>
      <c r="G15" s="133"/>
      <c r="H15" s="133"/>
      <c r="I15" s="133"/>
      <c r="J15" s="133"/>
      <c r="K15" s="133"/>
      <c r="L15" s="131" t="s">
        <v>40</v>
      </c>
      <c r="M15" s="133" t="str">
        <f>IF(Simulador!E10="","",Simulador!E10)</f>
        <v>Admitido</v>
      </c>
      <c r="N15" s="133"/>
      <c r="O15" s="133"/>
      <c r="P15" s="133"/>
      <c r="Q15" s="133"/>
      <c r="R15" s="133"/>
      <c r="S15" s="133"/>
      <c r="T15" s="134"/>
    </row>
    <row r="16" spans="2:20" s="71" customFormat="1" ht="3.95" customHeight="1" x14ac:dyDescent="0.2">
      <c r="B16" s="84"/>
      <c r="C16" s="84"/>
      <c r="D16" s="85"/>
      <c r="E16" s="84"/>
      <c r="F16" s="84"/>
      <c r="G16" s="84"/>
      <c r="H16" s="84"/>
      <c r="I16" s="84"/>
      <c r="J16" s="84"/>
      <c r="K16" s="84"/>
      <c r="L16" s="84"/>
      <c r="M16" s="84"/>
      <c r="N16" s="84"/>
      <c r="O16" s="84"/>
      <c r="P16" s="84"/>
      <c r="Q16" s="84"/>
      <c r="R16" s="84"/>
      <c r="S16" s="84"/>
      <c r="T16" s="84"/>
    </row>
    <row r="17" spans="2:20" ht="28.5" customHeight="1" thickBot="1" x14ac:dyDescent="0.25">
      <c r="B17" s="278" t="s">
        <v>23</v>
      </c>
      <c r="C17" s="279"/>
      <c r="D17" s="279"/>
      <c r="E17" s="279"/>
      <c r="F17" s="279"/>
      <c r="G17" s="279"/>
      <c r="H17" s="279"/>
      <c r="I17" s="279"/>
      <c r="J17" s="279"/>
      <c r="K17" s="279"/>
      <c r="L17" s="279"/>
      <c r="M17" s="279"/>
      <c r="N17" s="279"/>
      <c r="O17" s="279"/>
      <c r="P17" s="279"/>
      <c r="Q17" s="279"/>
      <c r="R17" s="279"/>
      <c r="S17" s="279"/>
      <c r="T17" s="280"/>
    </row>
    <row r="18" spans="2:20" ht="18.75" x14ac:dyDescent="0.2">
      <c r="B18" s="111"/>
      <c r="C18" s="288" t="s">
        <v>17</v>
      </c>
      <c r="D18" s="289"/>
      <c r="E18" s="289"/>
      <c r="F18" s="289"/>
      <c r="G18" s="289"/>
      <c r="H18" s="290"/>
      <c r="I18" s="147"/>
      <c r="J18" s="147"/>
      <c r="K18" s="110"/>
      <c r="L18" s="285" t="s">
        <v>18</v>
      </c>
      <c r="M18" s="286"/>
      <c r="N18" s="286"/>
      <c r="O18" s="286"/>
      <c r="P18" s="286"/>
      <c r="Q18" s="286"/>
      <c r="R18" s="286"/>
      <c r="S18" s="286"/>
      <c r="T18" s="287"/>
    </row>
    <row r="19" spans="2:20" ht="60" customHeight="1" x14ac:dyDescent="0.2">
      <c r="B19" s="123"/>
      <c r="C19" s="274" t="s">
        <v>25</v>
      </c>
      <c r="D19" s="274" t="s">
        <v>33</v>
      </c>
      <c r="E19" s="270" t="s">
        <v>26</v>
      </c>
      <c r="F19" s="184"/>
      <c r="G19" s="281" t="s">
        <v>241</v>
      </c>
      <c r="H19" s="282"/>
      <c r="I19" s="281" t="s">
        <v>264</v>
      </c>
      <c r="J19" s="281"/>
      <c r="K19" s="122"/>
      <c r="L19" s="274" t="s">
        <v>25</v>
      </c>
      <c r="M19" s="274" t="s">
        <v>33</v>
      </c>
      <c r="N19" s="185"/>
      <c r="O19" s="281" t="s">
        <v>242</v>
      </c>
      <c r="P19" s="282"/>
      <c r="Q19" s="281" t="s">
        <v>265</v>
      </c>
      <c r="R19" s="293"/>
      <c r="S19" s="276" t="s">
        <v>31</v>
      </c>
      <c r="T19" s="277"/>
    </row>
    <row r="20" spans="2:20" ht="27" customHeight="1" thickBot="1" x14ac:dyDescent="0.25">
      <c r="B20" s="124"/>
      <c r="C20" s="275"/>
      <c r="D20" s="275"/>
      <c r="E20" s="271"/>
      <c r="F20" s="186"/>
      <c r="G20" s="116">
        <v>0.3</v>
      </c>
      <c r="H20" s="159">
        <v>0.35</v>
      </c>
      <c r="I20" s="116">
        <v>0.3</v>
      </c>
      <c r="J20" s="116">
        <v>0.35</v>
      </c>
      <c r="K20" s="119"/>
      <c r="L20" s="275"/>
      <c r="M20" s="275"/>
      <c r="N20" s="187"/>
      <c r="O20" s="116" t="s">
        <v>50</v>
      </c>
      <c r="P20" s="159" t="s">
        <v>51</v>
      </c>
      <c r="Q20" s="116" t="s">
        <v>50</v>
      </c>
      <c r="R20" s="116" t="s">
        <v>51</v>
      </c>
      <c r="S20" s="194" t="s">
        <v>22</v>
      </c>
      <c r="T20" s="195" t="s">
        <v>33</v>
      </c>
    </row>
    <row r="21" spans="2:20" ht="14.25" thickTop="1" thickBot="1" x14ac:dyDescent="0.25">
      <c r="B21" s="137" t="s">
        <v>1</v>
      </c>
      <c r="C21" s="82" t="s">
        <v>24</v>
      </c>
      <c r="D21" s="80">
        <f>SUM(D22:D61)</f>
        <v>0</v>
      </c>
      <c r="E21" s="81" t="s">
        <v>22</v>
      </c>
      <c r="F21" s="199" t="s">
        <v>48</v>
      </c>
      <c r="G21" s="191">
        <f>SUM(G22:G61)</f>
        <v>0</v>
      </c>
      <c r="H21" s="192">
        <f>SUM(H22:H61)</f>
        <v>0</v>
      </c>
      <c r="I21" s="191">
        <f>SUM(I22:I61)</f>
        <v>0</v>
      </c>
      <c r="J21" s="193">
        <f>SUM(J22:J61)</f>
        <v>0</v>
      </c>
      <c r="K21" s="136" t="s">
        <v>1</v>
      </c>
      <c r="L21" s="127" t="s">
        <v>24</v>
      </c>
      <c r="M21" s="80">
        <f>SUM(M22:M61)</f>
        <v>0</v>
      </c>
      <c r="N21" s="199" t="s">
        <v>48</v>
      </c>
      <c r="O21" s="191">
        <f>SUM(O22:O61)</f>
        <v>0</v>
      </c>
      <c r="P21" s="192">
        <f>SUM(P22:P61)</f>
        <v>0</v>
      </c>
      <c r="Q21" s="191">
        <f>SUM(Q22:Q61)</f>
        <v>0</v>
      </c>
      <c r="R21" s="196">
        <f>SUM(R22:R61)</f>
        <v>0</v>
      </c>
      <c r="S21" s="197" t="s">
        <v>22</v>
      </c>
      <c r="T21" s="198">
        <f>SUM(T22:T61)</f>
        <v>0</v>
      </c>
    </row>
    <row r="22" spans="2:20" x14ac:dyDescent="0.2">
      <c r="B22" s="125">
        <v>1</v>
      </c>
      <c r="C22" s="77">
        <f>Simulador!D22</f>
        <v>0</v>
      </c>
      <c r="D22" s="79">
        <f>Simulador!F22</f>
        <v>0</v>
      </c>
      <c r="E22" s="78">
        <f>IF(OR(C22=0,C22=""),0,VLOOKUP(C22,'Relação de Rubricas'!E:G,3,0))</f>
        <v>0</v>
      </c>
      <c r="F22" s="189">
        <f>Simulador!E22</f>
        <v>0</v>
      </c>
      <c r="G22" s="117">
        <f>IF(F22=1,0,IF(OR($M$15="Admitido",$M$15="Efetivo/Ativo",$M$15="Estab.Constit"),IF(OR(C22=0,C22="",$D$15&gt;E22),0,IF(VLOOKUP(C22,'Relação de Rubricas'!E:J,5,0)="Sim",'Planilha de Calculo'!D22,0)),0))</f>
        <v>0</v>
      </c>
      <c r="H22" s="160">
        <f>IF(F22=1,0,IF(OR($M$15="Admitido",$M$15="Efetivo/Ativo",$M$15="Estab.Constit"),IF(OR(C22=0,C22="",$D$15&gt;E22),0,IF(VLOOKUP(C22,'Relação de Rubricas'!E:J,6,0)="Sim",'Planilha de Calculo'!D22,0)),0))</f>
        <v>0</v>
      </c>
      <c r="I22" s="117">
        <f>IF(F22=1,0,IF(OR($M$15="Admitido/Inativo",$M$15="Efetivo/Inativo",$M$15="Pensionista"),IF(OR(C22=0,C22=""),0,IF(VLOOKUP(C22,'Relação de Rubricas'!E:L,7,0)="Sim",'Planilha de Calculo'!D22,0)),0))</f>
        <v>0</v>
      </c>
      <c r="J22" s="117">
        <f>IF(F22=1,0,IF(OR($M$15="Admitido/Inativo",$M$15="Efetivo/Inativo",$M$15="Pensionista"),IF(OR(C22=0,C22=""),0,IF(VLOOKUP(C22,'Relação de Rubricas'!E:L,8,0)="Sim",'Planilha de Calculo'!D22,0)),0))</f>
        <v>0</v>
      </c>
      <c r="K22" s="120">
        <v>1</v>
      </c>
      <c r="L22" s="128">
        <f>Simulador!I22</f>
        <v>0</v>
      </c>
      <c r="M22" s="161">
        <f>Simulador!K22</f>
        <v>0</v>
      </c>
      <c r="N22" s="189">
        <f>Simulador!J22</f>
        <v>0</v>
      </c>
      <c r="O22" s="118">
        <f>IF(N22=1,0,IF(OR($M$15="Admitido",$M$15="Efetivo/Ativo",$M$15="Estab.Constit"),IF(OR(L22=0,L22=""),0,IF(AND(VLOOKUP(L22,'Relação de Rubricas'!E:J,5,0)="Sim",VLOOKUP(L22,'Relação de Rubricas'!E:J,2,0)="Desconto Facultativo"),'Planilha de Calculo'!M22,0)),0))</f>
        <v>0</v>
      </c>
      <c r="P22" s="160">
        <f>IF(N22=1,0,IF(OR($M$15="Admitido",$M$15="Efetivo/Ativo",$M$15="Estab.Constit"),IF(OR(L22=0,L22=""),0,IF(AND(VLOOKUP(L22,'Relação de Rubricas'!E:J,6,0)="Sim",VLOOKUP(L22,'Relação de Rubricas'!E:J,2,0)="Desconto Obrigatorio"),'Planilha de Calculo'!M22,0)),0))</f>
        <v>0</v>
      </c>
      <c r="Q22" s="117">
        <f>IF(N22=1,0,IF(OR($M$15="Admitido/Inativo",$M$15="Efetivo/Inativo",$M$15="Pensionista"),IF(OR(L22=0,L22=""),0,IF(AND(VLOOKUP(L22,'Relação de Rubricas'!E:J,5,0)="Sim",VLOOKUP(L22,'Relação de Rubricas'!E:J,2,0)="Desconto Facultativo"),'Planilha de Calculo'!M22,0)),0))</f>
        <v>0</v>
      </c>
      <c r="R22" s="117">
        <f>IF(N22=1,0,IF(OR($M$15="Admitido/Inativo",$M$15="Efetivo/Inativo",$M$15="Pensionista"),IF(OR(L22=0,L22=""),0,IF(AND(VLOOKUP(L22,'Relação de Rubricas'!E:J,6,0)="Sim",VLOOKUP(L22,'Relação de Rubricas'!E:J,2,0)="Desconto Obrigatorio"),'Planilha de Calculo'!M22,0)),0))</f>
        <v>0</v>
      </c>
      <c r="S22" s="78">
        <f>Simulador!L22</f>
        <v>0</v>
      </c>
      <c r="T22" s="88">
        <f>IF(S22="Sim",O22+Q22,0)</f>
        <v>0</v>
      </c>
    </row>
    <row r="23" spans="2:20" x14ac:dyDescent="0.2">
      <c r="B23" s="125">
        <v>2</v>
      </c>
      <c r="C23" s="77">
        <f>Simulador!D23</f>
        <v>0</v>
      </c>
      <c r="D23" s="79">
        <f>Simulador!F23</f>
        <v>0</v>
      </c>
      <c r="E23" s="78">
        <f>IF(OR(C23=0,C23=""),0,VLOOKUP(C23,'Relação de Rubricas'!E:G,3,0))</f>
        <v>0</v>
      </c>
      <c r="F23" s="189">
        <f>Simulador!E23</f>
        <v>0</v>
      </c>
      <c r="G23" s="117">
        <f>IF(F23=1,0,IF(OR($M$15="Admitido",$M$15="Efetivo/Ativo",$M$15="Estab.Constit"),IF(OR(C23=0,C23="",$D$15&gt;E23),0,IF(VLOOKUP(C23,'Relação de Rubricas'!E:J,5,0)="Sim",'Planilha de Calculo'!D23,0)),0))</f>
        <v>0</v>
      </c>
      <c r="H23" s="160">
        <f>IF(F23=1,0,IF(OR($M$15="Admitido",$M$15="Efetivo/Ativo",$M$15="Estab.Constit"),IF(OR(C23=0,C23="",$D$15&gt;E23),0,IF(VLOOKUP(C23,'Relação de Rubricas'!E:J,6,0)="Sim",'Planilha de Calculo'!D23,0)),0))</f>
        <v>0</v>
      </c>
      <c r="I23" s="117">
        <f>IF(F23=1,0,IF(OR($M$15="Efetivo/Inativo",$M$15="Pensionista"),IF(OR(C23=0,C23=""),0,IF(VLOOKUP(C23,'Relação de Rubricas'!E:L,7,0)="Sim",'Planilha de Calculo'!D23,0)),0))</f>
        <v>0</v>
      </c>
      <c r="J23" s="117">
        <f>IF(F23=1,0,IF(OR($M$15="Efetivo/Inativo",$M$15="Pensionista"),IF(OR(C23=0,C23=""),0,IF(VLOOKUP(C23,'Relação de Rubricas'!E:L,8,0)="Sim",'Planilha de Calculo'!D23,0)),0))</f>
        <v>0</v>
      </c>
      <c r="K23" s="120">
        <v>2</v>
      </c>
      <c r="L23" s="128">
        <f>Simulador!I23</f>
        <v>0</v>
      </c>
      <c r="M23" s="161">
        <f>Simulador!K23</f>
        <v>0</v>
      </c>
      <c r="N23" s="189">
        <f>Simulador!J23</f>
        <v>0</v>
      </c>
      <c r="O23" s="118">
        <f>IF(N23=1,0,IF(OR($M$15="Admitido",$M$15="Efetivo/Ativo",$M$15="Estab.Constit"),IF(OR(L23=0,L23=""),0,IF(AND(VLOOKUP(L23,'Relação de Rubricas'!E:J,5,0)="Sim",VLOOKUP(L23,'Relação de Rubricas'!E:J,2,0)="Desconto Facultativo"),'Planilha de Calculo'!M23,0)),0))</f>
        <v>0</v>
      </c>
      <c r="P23" s="160">
        <f>IF(N23=1,0,IF(OR($M$15="Admitido",$M$15="Efetivo/Ativo",$M$15="Estab.Constit"),IF(OR(L23=0,L23=""),0,IF(AND(VLOOKUP(L23,'Relação de Rubricas'!E:J,6,0)="Sim",VLOOKUP(L23,'Relação de Rubricas'!E:J,2,0)="Desconto Obrigatorio"),'Planilha de Calculo'!M23,0)),0))</f>
        <v>0</v>
      </c>
      <c r="Q23" s="117">
        <f>IF(N23=1,0,IF(OR($M$15="Efetivo/Inativo",$M$15="Pensionista"),IF(OR(L23=0,L23=""),0,IF(AND(VLOOKUP(L23,'Relação de Rubricas'!E:J,5,0)="Sim",VLOOKUP(L23,'Relação de Rubricas'!E:J,2,0)="Desconto Facultativo"),'Planilha de Calculo'!M23,0)),0))</f>
        <v>0</v>
      </c>
      <c r="R23" s="117">
        <f>IF(N23=1,0,IF(OR($M$15="Efetivo/Inativo",$M$15="Pensionista"),IF(OR(L23=0,L23=""),0,IF(AND(VLOOKUP(L23,'Relação de Rubricas'!E:J,6,0)="Sim",VLOOKUP(L23,'Relação de Rubricas'!E:J,2,0)="Desconto Obrigatorio"),'Planilha de Calculo'!M23,0)),0))</f>
        <v>0</v>
      </c>
      <c r="S23" s="78">
        <f>Simulador!L23</f>
        <v>0</v>
      </c>
      <c r="T23" s="88">
        <f>IF(S23="Sim",O23+Q23,0)</f>
        <v>0</v>
      </c>
    </row>
    <row r="24" spans="2:20" x14ac:dyDescent="0.2">
      <c r="B24" s="125">
        <v>3</v>
      </c>
      <c r="C24" s="77">
        <f>Simulador!D24</f>
        <v>0</v>
      </c>
      <c r="D24" s="79">
        <f>Simulador!F24</f>
        <v>0</v>
      </c>
      <c r="E24" s="78">
        <f>IF(OR(C24=0,C24=""),0,VLOOKUP(C24,'Relação de Rubricas'!E:G,3,0))</f>
        <v>0</v>
      </c>
      <c r="F24" s="189">
        <f>Simulador!E24</f>
        <v>0</v>
      </c>
      <c r="G24" s="117">
        <f>IF(F24=1,0,IF(OR($M$15="Admitido",$M$15="Efetivo/Ativo",$M$15="Estab.Constit"),IF(OR(C24=0,C24="",$D$15&gt;E24),0,IF(VLOOKUP(C24,'Relação de Rubricas'!E:J,5,0)="Sim",'Planilha de Calculo'!D24,0)),0))</f>
        <v>0</v>
      </c>
      <c r="H24" s="160">
        <f>IF(F24=1,0,IF(OR($M$15="Admitido",$M$15="Efetivo/Ativo",$M$15="Estab.Constit"),IF(OR(C24=0,C24="",$D$15&gt;E24),0,IF(VLOOKUP(C24,'Relação de Rubricas'!E:J,6,0)="Sim",'Planilha de Calculo'!D24,0)),0))</f>
        <v>0</v>
      </c>
      <c r="I24" s="117">
        <f>IF(F24=1,0,IF(OR($M$15="Efetivo/Inativo",$M$15="Pensionista"),IF(OR(C24=0,C24=""),0,IF(VLOOKUP(C24,'Relação de Rubricas'!E:L,7,0)="Sim",'Planilha de Calculo'!D24,0)),0))</f>
        <v>0</v>
      </c>
      <c r="J24" s="117">
        <f>IF(F24=1,0,IF(OR($M$15="Efetivo/Inativo",$M$15="Pensionista"),IF(OR(C24=0,C24=""),0,IF(VLOOKUP(C24,'Relação de Rubricas'!E:L,8,0)="Sim",'Planilha de Calculo'!D24,0)),0))</f>
        <v>0</v>
      </c>
      <c r="K24" s="120">
        <v>3</v>
      </c>
      <c r="L24" s="128">
        <f>Simulador!I24</f>
        <v>0</v>
      </c>
      <c r="M24" s="161">
        <f>Simulador!K24</f>
        <v>0</v>
      </c>
      <c r="N24" s="189">
        <f>Simulador!J24</f>
        <v>0</v>
      </c>
      <c r="O24" s="118">
        <f>IF(N24=1,0,IF(OR($M$15="Admitido",$M$15="Efetivo/Ativo",$M$15="Estab.Constit"),IF(OR(L24=0,L24=""),0,IF(AND(VLOOKUP(L24,'Relação de Rubricas'!E:J,5,0)="Sim",VLOOKUP(L24,'Relação de Rubricas'!E:J,2,0)="Desconto Facultativo"),'Planilha de Calculo'!M24,0)),0))</f>
        <v>0</v>
      </c>
      <c r="P24" s="160">
        <f>IF(N24=1,0,IF(OR($M$15="Admitido",$M$15="Efetivo/Ativo",$M$15="Estab.Constit"),IF(OR(L24=0,L24=""),0,IF(AND(VLOOKUP(L24,'Relação de Rubricas'!E:J,6,0)="Sim",VLOOKUP(L24,'Relação de Rubricas'!E:J,2,0)="Desconto Obrigatorio"),'Planilha de Calculo'!M24,0)),0))</f>
        <v>0</v>
      </c>
      <c r="Q24" s="117">
        <f>IF(N24=1,0,IF(OR($M$15="Efetivo/Inativo",$M$15="Pensionista"),IF(OR(L24=0,L24=""),0,IF(AND(VLOOKUP(L24,'Relação de Rubricas'!E:J,5,0)="Sim",VLOOKUP(L24,'Relação de Rubricas'!E:J,2,0)="Desconto Facultativo"),'Planilha de Calculo'!M24,0)),0))</f>
        <v>0</v>
      </c>
      <c r="R24" s="117">
        <f>IF(N24=1,0,IF(OR($M$15="Efetivo/Inativo",$M$15="Pensionista"),IF(OR(L24=0,L24=""),0,IF(AND(VLOOKUP(L24,'Relação de Rubricas'!E:J,6,0)="Sim",VLOOKUP(L24,'Relação de Rubricas'!E:J,2,0)="Desconto Obrigatorio"),'Planilha de Calculo'!M24,0)),0))</f>
        <v>0</v>
      </c>
      <c r="S24" s="78">
        <f>Simulador!L24</f>
        <v>0</v>
      </c>
      <c r="T24" s="88">
        <f t="shared" ref="T24:T61" si="0">IF(S24="Sim",O24+Q24,0)</f>
        <v>0</v>
      </c>
    </row>
    <row r="25" spans="2:20" x14ac:dyDescent="0.2">
      <c r="B25" s="125">
        <v>4</v>
      </c>
      <c r="C25" s="77">
        <f>Simulador!D25</f>
        <v>0</v>
      </c>
      <c r="D25" s="79">
        <f>Simulador!F25</f>
        <v>0</v>
      </c>
      <c r="E25" s="78">
        <f>IF(OR(C25=0,C25=""),0,VLOOKUP(C25,'Relação de Rubricas'!E:G,3,0))</f>
        <v>0</v>
      </c>
      <c r="F25" s="189">
        <f>Simulador!E25</f>
        <v>0</v>
      </c>
      <c r="G25" s="117">
        <f>IF(F25=1,0,IF(OR($M$15="Admitido",$M$15="Efetivo/Ativo",$M$15="Estab.Constit"),IF(OR(C25=0,C25="",$D$15&gt;E25),0,IF(VLOOKUP(C25,'Relação de Rubricas'!E:J,5,0)="Sim",'Planilha de Calculo'!D25,0)),0))</f>
        <v>0</v>
      </c>
      <c r="H25" s="160">
        <f>IF(F25=1,0,IF(OR($M$15="Admitido",$M$15="Efetivo/Ativo",$M$15="Estab.Constit"),IF(OR(C25=0,C25="",$D$15&gt;E25),0,IF(VLOOKUP(C25,'Relação de Rubricas'!E:J,6,0)="Sim",'Planilha de Calculo'!D25,0)),0))</f>
        <v>0</v>
      </c>
      <c r="I25" s="117">
        <f>IF(F25=1,0,IF(OR($M$15="Efetivo/Inativo",$M$15="Pensionista"),IF(OR(C25=0,C25=""),0,IF(VLOOKUP(C25,'Relação de Rubricas'!E:L,7,0)="Sim",'Planilha de Calculo'!D25,0)),0))</f>
        <v>0</v>
      </c>
      <c r="J25" s="117">
        <f>IF(F25=1,0,IF(OR($M$15="Efetivo/Inativo",$M$15="Pensionista"),IF(OR(C25=0,C25=""),0,IF(VLOOKUP(C25,'Relação de Rubricas'!E:L,8,0)="Sim",'Planilha de Calculo'!D25,0)),0))</f>
        <v>0</v>
      </c>
      <c r="K25" s="120">
        <v>4</v>
      </c>
      <c r="L25" s="128">
        <f>Simulador!I25</f>
        <v>0</v>
      </c>
      <c r="M25" s="161">
        <f>Simulador!K25</f>
        <v>0</v>
      </c>
      <c r="N25" s="189">
        <f>Simulador!J25</f>
        <v>0</v>
      </c>
      <c r="O25" s="118">
        <f>IF(N25=1,0,IF(OR($M$15="Admitido",$M$15="Efetivo/Ativo",$M$15="Estab.Constit"),IF(OR(L25=0,L25=""),0,IF(AND(VLOOKUP(L25,'Relação de Rubricas'!E:J,5,0)="Sim",VLOOKUP(L25,'Relação de Rubricas'!E:J,2,0)="Desconto Facultativo"),'Planilha de Calculo'!M25,0)),0))</f>
        <v>0</v>
      </c>
      <c r="P25" s="160">
        <f>IF(N25=1,0,IF(OR($M$15="Admitido",$M$15="Efetivo/Ativo",$M$15="Estab.Constit"),IF(OR(L25=0,L25=""),0,IF(AND(VLOOKUP(L25,'Relação de Rubricas'!E:J,6,0)="Sim",VLOOKUP(L25,'Relação de Rubricas'!E:J,2,0)="Desconto Obrigatorio"),'Planilha de Calculo'!M25,0)),0))</f>
        <v>0</v>
      </c>
      <c r="Q25" s="117">
        <f>IF(N25=1,0,IF(OR($M$15="Efetivo/Inativo",$M$15="Pensionista"),IF(OR(L25=0,L25=""),0,IF(AND(VLOOKUP(L25,'Relação de Rubricas'!E:J,5,0)="Sim",VLOOKUP(L25,'Relação de Rubricas'!E:J,2,0)="Desconto Facultativo"),'Planilha de Calculo'!M25,0)),0))</f>
        <v>0</v>
      </c>
      <c r="R25" s="117">
        <f>IF(N25=1,0,IF(OR($M$15="Efetivo/Inativo",$M$15="Pensionista"),IF(OR(L25=0,L25=""),0,IF(AND(VLOOKUP(L25,'Relação de Rubricas'!E:J,6,0)="Sim",VLOOKUP(L25,'Relação de Rubricas'!E:J,2,0)="Desconto Obrigatorio"),'Planilha de Calculo'!M25,0)),0))</f>
        <v>0</v>
      </c>
      <c r="S25" s="78">
        <f>Simulador!L25</f>
        <v>0</v>
      </c>
      <c r="T25" s="88">
        <f t="shared" si="0"/>
        <v>0</v>
      </c>
    </row>
    <row r="26" spans="2:20" x14ac:dyDescent="0.2">
      <c r="B26" s="125">
        <v>5</v>
      </c>
      <c r="C26" s="77">
        <f>Simulador!D26</f>
        <v>0</v>
      </c>
      <c r="D26" s="79">
        <f>Simulador!F26</f>
        <v>0</v>
      </c>
      <c r="E26" s="78">
        <f>IF(OR(C26=0,C26=""),0,VLOOKUP(C26,'Relação de Rubricas'!E:G,3,0))</f>
        <v>0</v>
      </c>
      <c r="F26" s="189">
        <f>Simulador!E26</f>
        <v>0</v>
      </c>
      <c r="G26" s="117">
        <f>IF(F26=1,0,IF(OR($M$15="Admitido",$M$15="Efetivo/Ativo",$M$15="Estab.Constit"),IF(OR(C26=0,C26="",$D$15&gt;E26),0,IF(VLOOKUP(C26,'Relação de Rubricas'!E:J,5,0)="Sim",'Planilha de Calculo'!D26,0)),0))</f>
        <v>0</v>
      </c>
      <c r="H26" s="160">
        <f>IF(F26=1,0,IF(OR($M$15="Admitido",$M$15="Efetivo/Ativo",$M$15="Estab.Constit"),IF(OR(C26=0,C26="",$D$15&gt;E26),0,IF(VLOOKUP(C26,'Relação de Rubricas'!E:J,6,0)="Sim",'Planilha de Calculo'!D26,0)),0))</f>
        <v>0</v>
      </c>
      <c r="I26" s="117">
        <f>IF(F26=1,0,IF(OR($M$15="Efetivo/Inativo",$M$15="Pensionista"),IF(OR(C26=0,C26=""),0,IF(VLOOKUP(C26,'Relação de Rubricas'!E:L,7,0)="Sim",'Planilha de Calculo'!D26,0)),0))</f>
        <v>0</v>
      </c>
      <c r="J26" s="117">
        <f>IF(F26=1,0,IF(OR($M$15="Efetivo/Inativo",$M$15="Pensionista"),IF(OR(C26=0,C26=""),0,IF(VLOOKUP(C26,'Relação de Rubricas'!E:L,8,0)="Sim",'Planilha de Calculo'!D26,0)),0))</f>
        <v>0</v>
      </c>
      <c r="K26" s="120">
        <v>5</v>
      </c>
      <c r="L26" s="128">
        <f>Simulador!I26</f>
        <v>0</v>
      </c>
      <c r="M26" s="161">
        <f>Simulador!K26</f>
        <v>0</v>
      </c>
      <c r="N26" s="189">
        <f>Simulador!J26</f>
        <v>0</v>
      </c>
      <c r="O26" s="118">
        <f>IF(N26=1,0,IF(OR($M$15="Admitido",$M$15="Efetivo/Ativo",$M$15="Estab.Constit"),IF(OR(L26=0,L26=""),0,IF(AND(VLOOKUP(L26,'Relação de Rubricas'!E:J,5,0)="Sim",VLOOKUP(L26,'Relação de Rubricas'!E:J,2,0)="Desconto Facultativo"),'Planilha de Calculo'!M26,0)),0))</f>
        <v>0</v>
      </c>
      <c r="P26" s="160">
        <f>IF(N26=1,0,IF(OR($M$15="Admitido",$M$15="Efetivo/Ativo",$M$15="Estab.Constit"),IF(OR(L26=0,L26=""),0,IF(AND(VLOOKUP(L26,'Relação de Rubricas'!E:J,6,0)="Sim",VLOOKUP(L26,'Relação de Rubricas'!E:J,2,0)="Desconto Obrigatorio"),'Planilha de Calculo'!M26,0)),0))</f>
        <v>0</v>
      </c>
      <c r="Q26" s="117">
        <f>IF(N26=1,0,IF(OR($M$15="Efetivo/Inativo",$M$15="Pensionista"),IF(OR(L26=0,L26=""),0,IF(AND(VLOOKUP(L26,'Relação de Rubricas'!E:J,5,0)="Sim",VLOOKUP(L26,'Relação de Rubricas'!E:J,2,0)="Desconto Facultativo"),'Planilha de Calculo'!M26,0)),0))</f>
        <v>0</v>
      </c>
      <c r="R26" s="117">
        <f>IF(N26=1,0,IF(OR($M$15="Efetivo/Inativo",$M$15="Pensionista"),IF(OR(L26=0,L26=""),0,IF(AND(VLOOKUP(L26,'Relação de Rubricas'!E:J,6,0)="Sim",VLOOKUP(L26,'Relação de Rubricas'!E:J,2,0)="Desconto Obrigatorio"),'Planilha de Calculo'!M26,0)),0))</f>
        <v>0</v>
      </c>
      <c r="S26" s="78">
        <f>Simulador!L26</f>
        <v>0</v>
      </c>
      <c r="T26" s="88">
        <f t="shared" si="0"/>
        <v>0</v>
      </c>
    </row>
    <row r="27" spans="2:20" x14ac:dyDescent="0.2">
      <c r="B27" s="125">
        <v>6</v>
      </c>
      <c r="C27" s="77">
        <f>Simulador!D27</f>
        <v>0</v>
      </c>
      <c r="D27" s="79">
        <f>Simulador!F27</f>
        <v>0</v>
      </c>
      <c r="E27" s="78">
        <f>IF(OR(C27=0,C27=""),0,VLOOKUP(C27,'Relação de Rubricas'!E:G,3,0))</f>
        <v>0</v>
      </c>
      <c r="F27" s="189">
        <f>Simulador!E27</f>
        <v>0</v>
      </c>
      <c r="G27" s="117">
        <f>IF(F27=1,0,IF(OR($M$15="Admitido",$M$15="Efetivo/Ativo",$M$15="Estab.Constit"),IF(OR(C27=0,C27="",$D$15&gt;E27),0,IF(VLOOKUP(C27,'Relação de Rubricas'!E:J,5,0)="Sim",'Planilha de Calculo'!D27,0)),0))</f>
        <v>0</v>
      </c>
      <c r="H27" s="160">
        <f>IF(F27=1,0,IF(OR($M$15="Admitido",$M$15="Efetivo/Ativo",$M$15="Estab.Constit"),IF(OR(C27=0,C27="",$D$15&gt;E27),0,IF(VLOOKUP(C27,'Relação de Rubricas'!E:J,6,0)="Sim",'Planilha de Calculo'!D27,0)),0))</f>
        <v>0</v>
      </c>
      <c r="I27" s="117">
        <f>IF(F27=1,0,IF(OR($M$15="Efetivo/Inativo",$M$15="Pensionista"),IF(OR(C27=0,C27=""),0,IF(VLOOKUP(C27,'Relação de Rubricas'!E:L,7,0)="Sim",'Planilha de Calculo'!D27,0)),0))</f>
        <v>0</v>
      </c>
      <c r="J27" s="117">
        <f>IF(F27=1,0,IF(OR($M$15="Efetivo/Inativo",$M$15="Pensionista"),IF(OR(C27=0,C27=""),0,IF(VLOOKUP(C27,'Relação de Rubricas'!E:L,8,0)="Sim",'Planilha de Calculo'!D27,0)),0))</f>
        <v>0</v>
      </c>
      <c r="K27" s="120">
        <v>6</v>
      </c>
      <c r="L27" s="128">
        <f>Simulador!I27</f>
        <v>0</v>
      </c>
      <c r="M27" s="161">
        <f>Simulador!K27</f>
        <v>0</v>
      </c>
      <c r="N27" s="189">
        <f>Simulador!J27</f>
        <v>0</v>
      </c>
      <c r="O27" s="118">
        <f>IF(N27=1,0,IF(OR($M$15="Admitido",$M$15="Efetivo/Ativo",$M$15="Estab.Constit"),IF(OR(L27=0,L27=""),0,IF(AND(VLOOKUP(L27,'Relação de Rubricas'!E:J,5,0)="Sim",VLOOKUP(L27,'Relação de Rubricas'!E:J,2,0)="Desconto Facultativo"),'Planilha de Calculo'!M27,0)),0))</f>
        <v>0</v>
      </c>
      <c r="P27" s="160">
        <f>IF(N27=1,0,IF(OR($M$15="Admitido",$M$15="Efetivo/Ativo",$M$15="Estab.Constit"),IF(OR(L27=0,L27=""),0,IF(AND(VLOOKUP(L27,'Relação de Rubricas'!E:J,6,0)="Sim",VLOOKUP(L27,'Relação de Rubricas'!E:J,2,0)="Desconto Obrigatorio"),'Planilha de Calculo'!M27,0)),0))</f>
        <v>0</v>
      </c>
      <c r="Q27" s="117">
        <f>IF(N27=1,0,IF(OR($M$15="Efetivo/Inativo",$M$15="Pensionista"),IF(OR(L27=0,L27=""),0,IF(AND(VLOOKUP(L27,'Relação de Rubricas'!E:J,5,0)="Sim",VLOOKUP(L27,'Relação de Rubricas'!E:J,2,0)="Desconto Facultativo"),'Planilha de Calculo'!M27,0)),0))</f>
        <v>0</v>
      </c>
      <c r="R27" s="117">
        <f>IF(N27=1,0,IF(OR($M$15="Efetivo/Inativo",$M$15="Pensionista"),IF(OR(L27=0,L27=""),0,IF(AND(VLOOKUP(L27,'Relação de Rubricas'!E:J,6,0)="Sim",VLOOKUP(L27,'Relação de Rubricas'!E:J,2,0)="Desconto Obrigatorio"),'Planilha de Calculo'!M27,0)),0))</f>
        <v>0</v>
      </c>
      <c r="S27" s="78">
        <f>Simulador!L27</f>
        <v>0</v>
      </c>
      <c r="T27" s="88">
        <f t="shared" si="0"/>
        <v>0</v>
      </c>
    </row>
    <row r="28" spans="2:20" x14ac:dyDescent="0.2">
      <c r="B28" s="125">
        <v>7</v>
      </c>
      <c r="C28" s="77">
        <f>Simulador!D28</f>
        <v>0</v>
      </c>
      <c r="D28" s="79">
        <f>Simulador!F28</f>
        <v>0</v>
      </c>
      <c r="E28" s="78">
        <f>IF(OR(C28=0,C28=""),0,VLOOKUP(C28,'Relação de Rubricas'!E:G,3,0))</f>
        <v>0</v>
      </c>
      <c r="F28" s="189">
        <f>Simulador!E28</f>
        <v>0</v>
      </c>
      <c r="G28" s="117">
        <f>IF(F28=1,0,IF(OR($M$15="Admitido",$M$15="Efetivo/Ativo",$M$15="Estab.Constit"),IF(OR(C28=0,C28="",$D$15&gt;E28),0,IF(VLOOKUP(C28,'Relação de Rubricas'!E:J,5,0)="Sim",'Planilha de Calculo'!D28,0)),0))</f>
        <v>0</v>
      </c>
      <c r="H28" s="160">
        <f>IF(F28=1,0,IF(OR($M$15="Admitido",$M$15="Efetivo/Ativo",$M$15="Estab.Constit"),IF(OR(C28=0,C28="",$D$15&gt;E28),0,IF(VLOOKUP(C28,'Relação de Rubricas'!E:J,6,0)="Sim",'Planilha de Calculo'!D28,0)),0))</f>
        <v>0</v>
      </c>
      <c r="I28" s="117">
        <f>IF(F28=1,0,IF(OR($M$15="Efetivo/Inativo",$M$15="Pensionista"),IF(OR(C28=0,C28=""),0,IF(VLOOKUP(C28,'Relação de Rubricas'!E:L,7,0)="Sim",'Planilha de Calculo'!D28,0)),0))</f>
        <v>0</v>
      </c>
      <c r="J28" s="117">
        <f>IF(F28=1,0,IF(OR($M$15="Efetivo/Inativo",$M$15="Pensionista"),IF(OR(C28=0,C28=""),0,IF(VLOOKUP(C28,'Relação de Rubricas'!E:L,8,0)="Sim",'Planilha de Calculo'!D28,0)),0))</f>
        <v>0</v>
      </c>
      <c r="K28" s="120">
        <v>7</v>
      </c>
      <c r="L28" s="128">
        <f>Simulador!I28</f>
        <v>0</v>
      </c>
      <c r="M28" s="161">
        <f>Simulador!K28</f>
        <v>0</v>
      </c>
      <c r="N28" s="189">
        <f>Simulador!J28</f>
        <v>0</v>
      </c>
      <c r="O28" s="118">
        <f>IF(N28=1,0,IF(OR($M$15="Admitido",$M$15="Efetivo/Ativo",$M$15="Estab.Constit"),IF(OR(L28=0,L28=""),0,IF(AND(VLOOKUP(L28,'Relação de Rubricas'!E:J,5,0)="Sim",VLOOKUP(L28,'Relação de Rubricas'!E:J,2,0)="Desconto Facultativo"),'Planilha de Calculo'!M28,0)),0))</f>
        <v>0</v>
      </c>
      <c r="P28" s="160">
        <f>IF(N28=1,0,IF(OR($M$15="Admitido",$M$15="Efetivo/Ativo",$M$15="Estab.Constit"),IF(OR(L28=0,L28=""),0,IF(AND(VLOOKUP(L28,'Relação de Rubricas'!E:J,6,0)="Sim",VLOOKUP(L28,'Relação de Rubricas'!E:J,2,0)="Desconto Obrigatorio"),'Planilha de Calculo'!M28,0)),0))</f>
        <v>0</v>
      </c>
      <c r="Q28" s="117">
        <f>IF(N28=1,0,IF(OR($M$15="Efetivo/Inativo",$M$15="Pensionista"),IF(OR(L28=0,L28=""),0,IF(AND(VLOOKUP(L28,'Relação de Rubricas'!E:J,5,0)="Sim",VLOOKUP(L28,'Relação de Rubricas'!E:J,2,0)="Desconto Facultativo"),'Planilha de Calculo'!M28,0)),0))</f>
        <v>0</v>
      </c>
      <c r="R28" s="117">
        <f>IF(N28=1,0,IF(OR($M$15="Efetivo/Inativo",$M$15="Pensionista"),IF(OR(L28=0,L28=""),0,IF(AND(VLOOKUP(L28,'Relação de Rubricas'!E:J,6,0)="Sim",VLOOKUP(L28,'Relação de Rubricas'!E:J,2,0)="Desconto Obrigatorio"),'Planilha de Calculo'!M28,0)),0))</f>
        <v>0</v>
      </c>
      <c r="S28" s="78">
        <f>Simulador!L28</f>
        <v>0</v>
      </c>
      <c r="T28" s="88">
        <f t="shared" si="0"/>
        <v>0</v>
      </c>
    </row>
    <row r="29" spans="2:20" x14ac:dyDescent="0.2">
      <c r="B29" s="125">
        <v>8</v>
      </c>
      <c r="C29" s="77">
        <f>Simulador!D29</f>
        <v>0</v>
      </c>
      <c r="D29" s="79">
        <f>Simulador!F29</f>
        <v>0</v>
      </c>
      <c r="E29" s="78">
        <f>IF(OR(C29=0,C29=""),0,VLOOKUP(C29,'Relação de Rubricas'!E:G,3,0))</f>
        <v>0</v>
      </c>
      <c r="F29" s="189">
        <f>Simulador!E29</f>
        <v>0</v>
      </c>
      <c r="G29" s="117">
        <f>IF(F29=1,0,IF(OR($M$15="Admitido",$M$15="Efetivo/Ativo",$M$15="Estab.Constit"),IF(OR(C29=0,C29="",$D$15&gt;E29),0,IF(VLOOKUP(C29,'Relação de Rubricas'!E:J,5,0)="Sim",'Planilha de Calculo'!D29,0)),0))</f>
        <v>0</v>
      </c>
      <c r="H29" s="160">
        <f>IF(F29=1,0,IF(OR($M$15="Admitido",$M$15="Efetivo/Ativo",$M$15="Estab.Constit"),IF(OR(C29=0,C29="",$D$15&gt;E29),0,IF(VLOOKUP(C29,'Relação de Rubricas'!E:J,6,0)="Sim",'Planilha de Calculo'!D29,0)),0))</f>
        <v>0</v>
      </c>
      <c r="I29" s="117">
        <f>IF(F29=1,0,IF(OR($M$15="Efetivo/Inativo",$M$15="Pensionista"),IF(OR(C29=0,C29=""),0,IF(VLOOKUP(C29,'Relação de Rubricas'!E:L,7,0)="Sim",'Planilha de Calculo'!D29,0)),0))</f>
        <v>0</v>
      </c>
      <c r="J29" s="117">
        <f>IF(F29=1,0,IF(OR($M$15="Efetivo/Inativo",$M$15="Pensionista"),IF(OR(C29=0,C29=""),0,IF(VLOOKUP(C29,'Relação de Rubricas'!E:L,8,0)="Sim",'Planilha de Calculo'!D29,0)),0))</f>
        <v>0</v>
      </c>
      <c r="K29" s="120">
        <v>8</v>
      </c>
      <c r="L29" s="128">
        <f>Simulador!I29</f>
        <v>0</v>
      </c>
      <c r="M29" s="161">
        <f>Simulador!K29</f>
        <v>0</v>
      </c>
      <c r="N29" s="189">
        <f>Simulador!J29</f>
        <v>0</v>
      </c>
      <c r="O29" s="118">
        <f>IF(N29=1,0,IF(OR($M$15="Admitido",$M$15="Efetivo/Ativo",$M$15="Estab.Constit"),IF(OR(L29=0,L29=""),0,IF(AND(VLOOKUP(L29,'Relação de Rubricas'!E:J,5,0)="Sim",VLOOKUP(L29,'Relação de Rubricas'!E:J,2,0)="Desconto Facultativo"),'Planilha de Calculo'!M29,0)),0))</f>
        <v>0</v>
      </c>
      <c r="P29" s="160">
        <f>IF(N29=1,0,IF(OR($M$15="Admitido",$M$15="Efetivo/Ativo",$M$15="Estab.Constit"),IF(OR(L29=0,L29=""),0,IF(AND(VLOOKUP(L29,'Relação de Rubricas'!E:J,6,0)="Sim",VLOOKUP(L29,'Relação de Rubricas'!E:J,2,0)="Desconto Obrigatorio"),'Planilha de Calculo'!M29,0)),0))</f>
        <v>0</v>
      </c>
      <c r="Q29" s="117">
        <f>IF(N29=1,0,IF(OR($M$15="Efetivo/Inativo",$M$15="Pensionista"),IF(OR(L29=0,L29=""),0,IF(AND(VLOOKUP(L29,'Relação de Rubricas'!E:J,5,0)="Sim",VLOOKUP(L29,'Relação de Rubricas'!E:J,2,0)="Desconto Facultativo"),'Planilha de Calculo'!M29,0)),0))</f>
        <v>0</v>
      </c>
      <c r="R29" s="117">
        <f>IF(N29=1,0,IF(OR($M$15="Efetivo/Inativo",$M$15="Pensionista"),IF(OR(L29=0,L29=""),0,IF(AND(VLOOKUP(L29,'Relação de Rubricas'!E:J,6,0)="Sim",VLOOKUP(L29,'Relação de Rubricas'!E:J,2,0)="Desconto Obrigatorio"),'Planilha de Calculo'!M29,0)),0))</f>
        <v>0</v>
      </c>
      <c r="S29" s="78">
        <f>Simulador!L29</f>
        <v>0</v>
      </c>
      <c r="T29" s="88">
        <f t="shared" si="0"/>
        <v>0</v>
      </c>
    </row>
    <row r="30" spans="2:20" x14ac:dyDescent="0.2">
      <c r="B30" s="125">
        <v>9</v>
      </c>
      <c r="C30" s="77">
        <f>Simulador!D30</f>
        <v>0</v>
      </c>
      <c r="D30" s="79">
        <f>Simulador!F30</f>
        <v>0</v>
      </c>
      <c r="E30" s="78">
        <f>IF(OR(C30=0,C30=""),0,VLOOKUP(C30,'Relação de Rubricas'!E:G,3,0))</f>
        <v>0</v>
      </c>
      <c r="F30" s="189">
        <f>Simulador!E30</f>
        <v>0</v>
      </c>
      <c r="G30" s="117">
        <f>IF(F30=1,0,IF(OR($M$15="Admitido",$M$15="Efetivo/Ativo",$M$15="Estab.Constit"),IF(OR(C30=0,C30="",$D$15&gt;E30),0,IF(VLOOKUP(C30,'Relação de Rubricas'!E:J,5,0)="Sim",'Planilha de Calculo'!D30,0)),0))</f>
        <v>0</v>
      </c>
      <c r="H30" s="160">
        <f>IF(F30=1,0,IF(OR($M$15="Admitido",$M$15="Efetivo/Ativo",$M$15="Estab.Constit"),IF(OR(C30=0,C30="",$D$15&gt;E30),0,IF(VLOOKUP(C30,'Relação de Rubricas'!E:J,6,0)="Sim",'Planilha de Calculo'!D30,0)),0))</f>
        <v>0</v>
      </c>
      <c r="I30" s="117">
        <f>IF(F30=1,0,IF(OR($M$15="Efetivo/Inativo",$M$15="Pensionista"),IF(OR(C30=0,C30=""),0,IF(VLOOKUP(C30,'Relação de Rubricas'!E:L,7,0)="Sim",'Planilha de Calculo'!D30,0)),0))</f>
        <v>0</v>
      </c>
      <c r="J30" s="117">
        <f>IF(F30=1,0,IF(OR($M$15="Efetivo/Inativo",$M$15="Pensionista"),IF(OR(C30=0,C30=""),0,IF(VLOOKUP(C30,'Relação de Rubricas'!E:L,8,0)="Sim",'Planilha de Calculo'!D30,0)),0))</f>
        <v>0</v>
      </c>
      <c r="K30" s="120">
        <v>9</v>
      </c>
      <c r="L30" s="128">
        <f>Simulador!I30</f>
        <v>0</v>
      </c>
      <c r="M30" s="161">
        <f>Simulador!K30</f>
        <v>0</v>
      </c>
      <c r="N30" s="189">
        <f>Simulador!J30</f>
        <v>0</v>
      </c>
      <c r="O30" s="118">
        <f>IF(N30=1,0,IF(OR($M$15="Admitido",$M$15="Efetivo/Ativo",$M$15="Estab.Constit"),IF(OR(L30=0,L30=""),0,IF(AND(VLOOKUP(L30,'Relação de Rubricas'!E:J,5,0)="Sim",VLOOKUP(L30,'Relação de Rubricas'!E:J,2,0)="Desconto Facultativo"),'Planilha de Calculo'!M30,0)),0))</f>
        <v>0</v>
      </c>
      <c r="P30" s="160">
        <f>IF(N30=1,0,IF(OR($M$15="Admitido",$M$15="Efetivo/Ativo",$M$15="Estab.Constit"),IF(OR(L30=0,L30=""),0,IF(AND(VLOOKUP(L30,'Relação de Rubricas'!E:J,6,0)="Sim",VLOOKUP(L30,'Relação de Rubricas'!E:J,2,0)="Desconto Obrigatorio"),'Planilha de Calculo'!M30,0)),0))</f>
        <v>0</v>
      </c>
      <c r="Q30" s="117">
        <f>IF(N30=1,0,IF(OR($M$15="Efetivo/Inativo",$M$15="Pensionista"),IF(OR(L30=0,L30=""),0,IF(AND(VLOOKUP(L30,'Relação de Rubricas'!E:J,5,0)="Sim",VLOOKUP(L30,'Relação de Rubricas'!E:J,2,0)="Desconto Facultativo"),'Planilha de Calculo'!M30,0)),0))</f>
        <v>0</v>
      </c>
      <c r="R30" s="117">
        <f>IF(N30=1,0,IF(OR($M$15="Efetivo/Inativo",$M$15="Pensionista"),IF(OR(L30=0,L30=""),0,IF(AND(VLOOKUP(L30,'Relação de Rubricas'!E:J,6,0)="Sim",VLOOKUP(L30,'Relação de Rubricas'!E:J,2,0)="Desconto Obrigatorio"),'Planilha de Calculo'!M30,0)),0))</f>
        <v>0</v>
      </c>
      <c r="S30" s="78">
        <f>Simulador!L30</f>
        <v>0</v>
      </c>
      <c r="T30" s="88">
        <f t="shared" si="0"/>
        <v>0</v>
      </c>
    </row>
    <row r="31" spans="2:20" x14ac:dyDescent="0.2">
      <c r="B31" s="125">
        <v>10</v>
      </c>
      <c r="C31" s="77">
        <f>Simulador!D31</f>
        <v>0</v>
      </c>
      <c r="D31" s="79">
        <f>Simulador!F31</f>
        <v>0</v>
      </c>
      <c r="E31" s="78">
        <f>IF(OR(C31=0,C31=""),0,VLOOKUP(C31,'Relação de Rubricas'!E:G,3,0))</f>
        <v>0</v>
      </c>
      <c r="F31" s="189">
        <f>Simulador!E31</f>
        <v>0</v>
      </c>
      <c r="G31" s="117">
        <f>IF(F31=1,0,IF(OR($M$15="Admitido",$M$15="Efetivo/Ativo",$M$15="Estab.Constit"),IF(OR(C31=0,C31="",$D$15&gt;E31),0,IF(VLOOKUP(C31,'Relação de Rubricas'!E:J,5,0)="Sim",'Planilha de Calculo'!D31,0)),0))</f>
        <v>0</v>
      </c>
      <c r="H31" s="160">
        <f>IF(F31=1,0,IF(OR($M$15="Admitido",$M$15="Efetivo/Ativo",$M$15="Estab.Constit"),IF(OR(C31=0,C31="",$D$15&gt;E31),0,IF(VLOOKUP(C31,'Relação de Rubricas'!E:J,6,0)="Sim",'Planilha de Calculo'!D31,0)),0))</f>
        <v>0</v>
      </c>
      <c r="I31" s="117">
        <f>IF(F31=1,0,IF(OR($M$15="Efetivo/Inativo",$M$15="Pensionista"),IF(OR(C31=0,C31=""),0,IF(VLOOKUP(C31,'Relação de Rubricas'!E:L,7,0)="Sim",'Planilha de Calculo'!D31,0)),0))</f>
        <v>0</v>
      </c>
      <c r="J31" s="117">
        <f>IF(F31=1,0,IF(OR($M$15="Efetivo/Inativo",$M$15="Pensionista"),IF(OR(C31=0,C31=""),0,IF(VLOOKUP(C31,'Relação de Rubricas'!E:L,8,0)="Sim",'Planilha de Calculo'!D31,0)),0))</f>
        <v>0</v>
      </c>
      <c r="K31" s="120">
        <v>10</v>
      </c>
      <c r="L31" s="128">
        <f>Simulador!I31</f>
        <v>0</v>
      </c>
      <c r="M31" s="161">
        <f>Simulador!K31</f>
        <v>0</v>
      </c>
      <c r="N31" s="189">
        <f>Simulador!J31</f>
        <v>0</v>
      </c>
      <c r="O31" s="118">
        <f>IF(N31=1,0,IF(OR($M$15="Admitido",$M$15="Efetivo/Ativo",$M$15="Estab.Constit"),IF(OR(L31=0,L31=""),0,IF(AND(VLOOKUP(L31,'Relação de Rubricas'!E:J,5,0)="Sim",VLOOKUP(L31,'Relação de Rubricas'!E:J,2,0)="Desconto Facultativo"),'Planilha de Calculo'!M31,0)),0))</f>
        <v>0</v>
      </c>
      <c r="P31" s="160">
        <f>IF(N31=1,0,IF(OR($M$15="Admitido",$M$15="Efetivo/Ativo",$M$15="Estab.Constit"),IF(OR(L31=0,L31=""),0,IF(AND(VLOOKUP(L31,'Relação de Rubricas'!E:J,6,0)="Sim",VLOOKUP(L31,'Relação de Rubricas'!E:J,2,0)="Desconto Obrigatorio"),'Planilha de Calculo'!M31,0)),0))</f>
        <v>0</v>
      </c>
      <c r="Q31" s="117">
        <f>IF(N31=1,0,IF(OR($M$15="Efetivo/Inativo",$M$15="Pensionista"),IF(OR(L31=0,L31=""),0,IF(AND(VLOOKUP(L31,'Relação de Rubricas'!E:J,5,0)="Sim",VLOOKUP(L31,'Relação de Rubricas'!E:J,2,0)="Desconto Facultativo"),'Planilha de Calculo'!M31,0)),0))</f>
        <v>0</v>
      </c>
      <c r="R31" s="117">
        <f>IF(N31=1,0,IF(OR($M$15="Efetivo/Inativo",$M$15="Pensionista"),IF(OR(L31=0,L31=""),0,IF(AND(VLOOKUP(L31,'Relação de Rubricas'!E:J,6,0)="Sim",VLOOKUP(L31,'Relação de Rubricas'!E:J,2,0)="Desconto Obrigatorio"),'Planilha de Calculo'!M31,0)),0))</f>
        <v>0</v>
      </c>
      <c r="S31" s="78">
        <f>Simulador!L31</f>
        <v>0</v>
      </c>
      <c r="T31" s="88">
        <f t="shared" si="0"/>
        <v>0</v>
      </c>
    </row>
    <row r="32" spans="2:20" x14ac:dyDescent="0.2">
      <c r="B32" s="125">
        <v>11</v>
      </c>
      <c r="C32" s="77">
        <f>Simulador!D32</f>
        <v>0</v>
      </c>
      <c r="D32" s="79">
        <f>Simulador!F32</f>
        <v>0</v>
      </c>
      <c r="E32" s="78">
        <f>IF(OR(C32=0,C32=""),0,VLOOKUP(C32,'Relação de Rubricas'!E:G,3,0))</f>
        <v>0</v>
      </c>
      <c r="F32" s="189">
        <f>Simulador!E32</f>
        <v>0</v>
      </c>
      <c r="G32" s="117">
        <f>IF(F32=1,0,IF(OR($M$15="Admitido",$M$15="Efetivo/Ativo",$M$15="Estab.Constit"),IF(OR(C32=0,C32="",$D$15&gt;E32),0,IF(VLOOKUP(C32,'Relação de Rubricas'!E:J,5,0)="Sim",'Planilha de Calculo'!D32,0)),0))</f>
        <v>0</v>
      </c>
      <c r="H32" s="160">
        <f>IF(F32=1,0,IF(OR($M$15="Admitido",$M$15="Efetivo/Ativo",$M$15="Estab.Constit"),IF(OR(C32=0,C32="",$D$15&gt;E32),0,IF(VLOOKUP(C32,'Relação de Rubricas'!E:J,6,0)="Sim",'Planilha de Calculo'!D32,0)),0))</f>
        <v>0</v>
      </c>
      <c r="I32" s="117">
        <f>IF(F32=1,0,IF(OR($M$15="Efetivo/Inativo",$M$15="Pensionista"),IF(OR(C32=0,C32=""),0,IF(VLOOKUP(C32,'Relação de Rubricas'!E:L,7,0)="Sim",'Planilha de Calculo'!D32,0)),0))</f>
        <v>0</v>
      </c>
      <c r="J32" s="117">
        <f>IF(F32=1,0,IF(OR($M$15="Efetivo/Inativo",$M$15="Pensionista"),IF(OR(C32=0,C32=""),0,IF(VLOOKUP(C32,'Relação de Rubricas'!E:L,8,0)="Sim",'Planilha de Calculo'!D32,0)),0))</f>
        <v>0</v>
      </c>
      <c r="K32" s="120">
        <v>11</v>
      </c>
      <c r="L32" s="128">
        <f>Simulador!I32</f>
        <v>0</v>
      </c>
      <c r="M32" s="161">
        <f>Simulador!K32</f>
        <v>0</v>
      </c>
      <c r="N32" s="189">
        <f>Simulador!J32</f>
        <v>0</v>
      </c>
      <c r="O32" s="118">
        <f>IF(N32=1,0,IF(OR($M$15="Admitido",$M$15="Efetivo/Ativo",$M$15="Estab.Constit"),IF(OR(L32=0,L32=""),0,IF(AND(VLOOKUP(L32,'Relação de Rubricas'!E:J,5,0)="Sim",VLOOKUP(L32,'Relação de Rubricas'!E:J,2,0)="Desconto Facultativo"),'Planilha de Calculo'!M32,0)),0))</f>
        <v>0</v>
      </c>
      <c r="P32" s="160">
        <f>IF(N32=1,0,IF(OR($M$15="Admitido",$M$15="Efetivo/Ativo",$M$15="Estab.Constit"),IF(OR(L32=0,L32=""),0,IF(AND(VLOOKUP(L32,'Relação de Rubricas'!E:J,6,0)="Sim",VLOOKUP(L32,'Relação de Rubricas'!E:J,2,0)="Desconto Obrigatorio"),'Planilha de Calculo'!M32,0)),0))</f>
        <v>0</v>
      </c>
      <c r="Q32" s="117">
        <f>IF(N32=1,0,IF(OR($M$15="Efetivo/Inativo",$M$15="Pensionista"),IF(OR(L32=0,L32=""),0,IF(AND(VLOOKUP(L32,'Relação de Rubricas'!E:J,5,0)="Sim",VLOOKUP(L32,'Relação de Rubricas'!E:J,2,0)="Desconto Facultativo"),'Planilha de Calculo'!M32,0)),0))</f>
        <v>0</v>
      </c>
      <c r="R32" s="117">
        <f>IF(N32=1,0,IF(OR($M$15="Efetivo/Inativo",$M$15="Pensionista"),IF(OR(L32=0,L32=""),0,IF(AND(VLOOKUP(L32,'Relação de Rubricas'!E:J,6,0)="Sim",VLOOKUP(L32,'Relação de Rubricas'!E:J,2,0)="Desconto Obrigatorio"),'Planilha de Calculo'!M32,0)),0))</f>
        <v>0</v>
      </c>
      <c r="S32" s="78">
        <f>Simulador!L32</f>
        <v>0</v>
      </c>
      <c r="T32" s="88">
        <f t="shared" si="0"/>
        <v>0</v>
      </c>
    </row>
    <row r="33" spans="2:20" x14ac:dyDescent="0.2">
      <c r="B33" s="125">
        <v>12</v>
      </c>
      <c r="C33" s="77">
        <f>Simulador!D33</f>
        <v>0</v>
      </c>
      <c r="D33" s="79">
        <f>Simulador!F33</f>
        <v>0</v>
      </c>
      <c r="E33" s="78">
        <f>IF(OR(C33=0,C33=""),0,VLOOKUP(C33,'Relação de Rubricas'!E:G,3,0))</f>
        <v>0</v>
      </c>
      <c r="F33" s="189">
        <f>Simulador!E33</f>
        <v>0</v>
      </c>
      <c r="G33" s="117">
        <f>IF(F33=1,0,IF(OR($M$15="Admitido",$M$15="Efetivo/Ativo",$M$15="Estab.Constit"),IF(OR(C33=0,C33="",$D$15&gt;E33),0,IF(VLOOKUP(C33,'Relação de Rubricas'!E:J,5,0)="Sim",'Planilha de Calculo'!D33,0)),0))</f>
        <v>0</v>
      </c>
      <c r="H33" s="160">
        <f>IF(F33=1,0,IF(OR($M$15="Admitido",$M$15="Efetivo/Ativo",$M$15="Estab.Constit"),IF(OR(C33=0,C33="",$D$15&gt;E33),0,IF(VLOOKUP(C33,'Relação de Rubricas'!E:J,6,0)="Sim",'Planilha de Calculo'!D33,0)),0))</f>
        <v>0</v>
      </c>
      <c r="I33" s="117">
        <f>IF(F33=1,0,IF(OR($M$15="Efetivo/Inativo",$M$15="Pensionista"),IF(OR(C33=0,C33=""),0,IF(VLOOKUP(C33,'Relação de Rubricas'!E:L,7,0)="Sim",'Planilha de Calculo'!D33,0)),0))</f>
        <v>0</v>
      </c>
      <c r="J33" s="117">
        <f>IF(F33=1,0,IF(OR($M$15="Efetivo/Inativo",$M$15="Pensionista"),IF(OR(C33=0,C33=""),0,IF(VLOOKUP(C33,'Relação de Rubricas'!E:L,8,0)="Sim",'Planilha de Calculo'!D33,0)),0))</f>
        <v>0</v>
      </c>
      <c r="K33" s="120">
        <v>12</v>
      </c>
      <c r="L33" s="128">
        <f>Simulador!I33</f>
        <v>0</v>
      </c>
      <c r="M33" s="161">
        <f>Simulador!K33</f>
        <v>0</v>
      </c>
      <c r="N33" s="189">
        <f>Simulador!J33</f>
        <v>0</v>
      </c>
      <c r="O33" s="118">
        <f>IF(N33=1,0,IF(OR($M$15="Admitido",$M$15="Efetivo/Ativo",$M$15="Estab.Constit"),IF(OR(L33=0,L33=""),0,IF(AND(VLOOKUP(L33,'Relação de Rubricas'!E:J,5,0)="Sim",VLOOKUP(L33,'Relação de Rubricas'!E:J,2,0)="Desconto Facultativo"),'Planilha de Calculo'!M33,0)),0))</f>
        <v>0</v>
      </c>
      <c r="P33" s="160">
        <f>IF(N33=1,0,IF(OR($M$15="Admitido",$M$15="Efetivo/Ativo",$M$15="Estab.Constit"),IF(OR(L33=0,L33=""),0,IF(AND(VLOOKUP(L33,'Relação de Rubricas'!E:J,6,0)="Sim",VLOOKUP(L33,'Relação de Rubricas'!E:J,2,0)="Desconto Obrigatorio"),'Planilha de Calculo'!M33,0)),0))</f>
        <v>0</v>
      </c>
      <c r="Q33" s="117">
        <f>IF(N33=1,0,IF(OR($M$15="Efetivo/Inativo",$M$15="Pensionista"),IF(OR(L33=0,L33=""),0,IF(AND(VLOOKUP(L33,'Relação de Rubricas'!E:J,5,0)="Sim",VLOOKUP(L33,'Relação de Rubricas'!E:J,2,0)="Desconto Facultativo"),'Planilha de Calculo'!M33,0)),0))</f>
        <v>0</v>
      </c>
      <c r="R33" s="117">
        <f>IF(N33=1,0,IF(OR($M$15="Efetivo/Inativo",$M$15="Pensionista"),IF(OR(L33=0,L33=""),0,IF(AND(VLOOKUP(L33,'Relação de Rubricas'!E:J,6,0)="Sim",VLOOKUP(L33,'Relação de Rubricas'!E:J,2,0)="Desconto Obrigatorio"),'Planilha de Calculo'!M33,0)),0))</f>
        <v>0</v>
      </c>
      <c r="S33" s="78">
        <f>Simulador!L33</f>
        <v>0</v>
      </c>
      <c r="T33" s="88">
        <f t="shared" si="0"/>
        <v>0</v>
      </c>
    </row>
    <row r="34" spans="2:20" x14ac:dyDescent="0.2">
      <c r="B34" s="125">
        <v>13</v>
      </c>
      <c r="C34" s="77">
        <f>Simulador!D34</f>
        <v>0</v>
      </c>
      <c r="D34" s="79">
        <f>Simulador!F34</f>
        <v>0</v>
      </c>
      <c r="E34" s="78">
        <f>IF(OR(C34=0,C34=""),0,VLOOKUP(C34,'Relação de Rubricas'!E:G,3,0))</f>
        <v>0</v>
      </c>
      <c r="F34" s="189">
        <f>Simulador!E34</f>
        <v>0</v>
      </c>
      <c r="G34" s="117">
        <f>IF(F34=1,0,IF(OR($M$15="Admitido",$M$15="Efetivo/Ativo",$M$15="Estab.Constit"),IF(OR(C34=0,C34="",$D$15&gt;E34),0,IF(VLOOKUP(C34,'Relação de Rubricas'!E:J,5,0)="Sim",'Planilha de Calculo'!D34,0)),0))</f>
        <v>0</v>
      </c>
      <c r="H34" s="160">
        <f>IF(F34=1,0,IF(OR($M$15="Admitido",$M$15="Efetivo/Ativo",$M$15="Estab.Constit"),IF(OR(C34=0,C34="",$D$15&gt;E34),0,IF(VLOOKUP(C34,'Relação de Rubricas'!E:J,6,0)="Sim",'Planilha de Calculo'!D34,0)),0))</f>
        <v>0</v>
      </c>
      <c r="I34" s="117">
        <f>IF(F34=1,0,IF(OR($M$15="Efetivo/Inativo",$M$15="Pensionista"),IF(OR(C34=0,C34=""),0,IF(VLOOKUP(C34,'Relação de Rubricas'!E:L,7,0)="Sim",'Planilha de Calculo'!D34,0)),0))</f>
        <v>0</v>
      </c>
      <c r="J34" s="117">
        <f>IF(F34=1,0,IF(OR($M$15="Efetivo/Inativo",$M$15="Pensionista"),IF(OR(C34=0,C34=""),0,IF(VLOOKUP(C34,'Relação de Rubricas'!E:L,8,0)="Sim",'Planilha de Calculo'!D34,0)),0))</f>
        <v>0</v>
      </c>
      <c r="K34" s="120">
        <v>13</v>
      </c>
      <c r="L34" s="128">
        <f>Simulador!I34</f>
        <v>0</v>
      </c>
      <c r="M34" s="161">
        <f>Simulador!K34</f>
        <v>0</v>
      </c>
      <c r="N34" s="189">
        <f>Simulador!J34</f>
        <v>0</v>
      </c>
      <c r="O34" s="118">
        <f>IF(N34=1,0,IF(OR($M$15="Admitido",$M$15="Efetivo/Ativo",$M$15="Estab.Constit"),IF(OR(L34=0,L34=""),0,IF(AND(VLOOKUP(L34,'Relação de Rubricas'!E:J,5,0)="Sim",VLOOKUP(L34,'Relação de Rubricas'!E:J,2,0)="Desconto Facultativo"),'Planilha de Calculo'!M34,0)),0))</f>
        <v>0</v>
      </c>
      <c r="P34" s="160">
        <f>IF(N34=1,0,IF(OR($M$15="Admitido",$M$15="Efetivo/Ativo",$M$15="Estab.Constit"),IF(OR(L34=0,L34=""),0,IF(AND(VLOOKUP(L34,'Relação de Rubricas'!E:J,6,0)="Sim",VLOOKUP(L34,'Relação de Rubricas'!E:J,2,0)="Desconto Obrigatorio"),'Planilha de Calculo'!M34,0)),0))</f>
        <v>0</v>
      </c>
      <c r="Q34" s="117">
        <f>IF(N34=1,0,IF(OR($M$15="Efetivo/Inativo",$M$15="Pensionista"),IF(OR(L34=0,L34=""),0,IF(AND(VLOOKUP(L34,'Relação de Rubricas'!E:J,5,0)="Sim",VLOOKUP(L34,'Relação de Rubricas'!E:J,2,0)="Desconto Facultativo"),'Planilha de Calculo'!M34,0)),0))</f>
        <v>0</v>
      </c>
      <c r="R34" s="117">
        <f>IF(N34=1,0,IF(OR($M$15="Efetivo/Inativo",$M$15="Pensionista"),IF(OR(L34=0,L34=""),0,IF(AND(VLOOKUP(L34,'Relação de Rubricas'!E:J,6,0)="Sim",VLOOKUP(L34,'Relação de Rubricas'!E:J,2,0)="Desconto Obrigatorio"),'Planilha de Calculo'!M34,0)),0))</f>
        <v>0</v>
      </c>
      <c r="S34" s="78">
        <f>Simulador!L34</f>
        <v>0</v>
      </c>
      <c r="T34" s="88">
        <f t="shared" si="0"/>
        <v>0</v>
      </c>
    </row>
    <row r="35" spans="2:20" x14ac:dyDescent="0.2">
      <c r="B35" s="125">
        <v>14</v>
      </c>
      <c r="C35" s="77">
        <f>Simulador!D35</f>
        <v>0</v>
      </c>
      <c r="D35" s="79">
        <f>Simulador!F35</f>
        <v>0</v>
      </c>
      <c r="E35" s="78">
        <f>IF(OR(C35=0,C35=""),0,VLOOKUP(C35,'Relação de Rubricas'!E:G,3,0))</f>
        <v>0</v>
      </c>
      <c r="F35" s="189">
        <f>Simulador!E35</f>
        <v>0</v>
      </c>
      <c r="G35" s="117">
        <f>IF(F35=1,0,IF(OR($M$15="Admitido",$M$15="Efetivo/Ativo",$M$15="Estab.Constit"),IF(OR(C35=0,C35="",$D$15&gt;E35),0,IF(VLOOKUP(C35,'Relação de Rubricas'!E:J,5,0)="Sim",'Planilha de Calculo'!D35,0)),0))</f>
        <v>0</v>
      </c>
      <c r="H35" s="160">
        <f>IF(F35=1,0,IF(OR($M$15="Admitido",$M$15="Efetivo/Ativo",$M$15="Estab.Constit"),IF(OR(C35=0,C35="",$D$15&gt;E35),0,IF(VLOOKUP(C35,'Relação de Rubricas'!E:J,6,0)="Sim",'Planilha de Calculo'!D35,0)),0))</f>
        <v>0</v>
      </c>
      <c r="I35" s="117">
        <f>IF(F35=1,0,IF(OR($M$15="Efetivo/Inativo",$M$15="Pensionista"),IF(OR(C35=0,C35=""),0,IF(VLOOKUP(C35,'Relação de Rubricas'!E:L,7,0)="Sim",'Planilha de Calculo'!D35,0)),0))</f>
        <v>0</v>
      </c>
      <c r="J35" s="117">
        <f>IF(F35=1,0,IF(OR($M$15="Efetivo/Inativo",$M$15="Pensionista"),IF(OR(C35=0,C35=""),0,IF(VLOOKUP(C35,'Relação de Rubricas'!E:L,8,0)="Sim",'Planilha de Calculo'!D35,0)),0))</f>
        <v>0</v>
      </c>
      <c r="K35" s="120">
        <v>14</v>
      </c>
      <c r="L35" s="128">
        <f>Simulador!I35</f>
        <v>0</v>
      </c>
      <c r="M35" s="161">
        <f>Simulador!K35</f>
        <v>0</v>
      </c>
      <c r="N35" s="189">
        <f>Simulador!J35</f>
        <v>0</v>
      </c>
      <c r="O35" s="118">
        <f>IF(N35=1,0,IF(OR($M$15="Admitido",$M$15="Efetivo/Ativo",$M$15="Estab.Constit"),IF(OR(L35=0,L35=""),0,IF(AND(VLOOKUP(L35,'Relação de Rubricas'!E:J,5,0)="Sim",VLOOKUP(L35,'Relação de Rubricas'!E:J,2,0)="Desconto Facultativo"),'Planilha de Calculo'!M35,0)),0))</f>
        <v>0</v>
      </c>
      <c r="P35" s="160">
        <f>IF(N35=1,0,IF(OR($M$15="Admitido",$M$15="Efetivo/Ativo",$M$15="Estab.Constit"),IF(OR(L35=0,L35=""),0,IF(AND(VLOOKUP(L35,'Relação de Rubricas'!E:J,6,0)="Sim",VLOOKUP(L35,'Relação de Rubricas'!E:J,2,0)="Desconto Obrigatorio"),'Planilha de Calculo'!M35,0)),0))</f>
        <v>0</v>
      </c>
      <c r="Q35" s="117">
        <f>IF(N35=1,0,IF(OR($M$15="Efetivo/Inativo",$M$15="Pensionista"),IF(OR(L35=0,L35=""),0,IF(AND(VLOOKUP(L35,'Relação de Rubricas'!E:J,5,0)="Sim",VLOOKUP(L35,'Relação de Rubricas'!E:J,2,0)="Desconto Facultativo"),'Planilha de Calculo'!M35,0)),0))</f>
        <v>0</v>
      </c>
      <c r="R35" s="117">
        <f>IF(N35=1,0,IF(OR($M$15="Efetivo/Inativo",$M$15="Pensionista"),IF(OR(L35=0,L35=""),0,IF(AND(VLOOKUP(L35,'Relação de Rubricas'!E:J,6,0)="Sim",VLOOKUP(L35,'Relação de Rubricas'!E:J,2,0)="Desconto Obrigatorio"),'Planilha de Calculo'!M35,0)),0))</f>
        <v>0</v>
      </c>
      <c r="S35" s="78">
        <f>Simulador!L35</f>
        <v>0</v>
      </c>
      <c r="T35" s="88">
        <f t="shared" si="0"/>
        <v>0</v>
      </c>
    </row>
    <row r="36" spans="2:20" x14ac:dyDescent="0.2">
      <c r="B36" s="125">
        <v>15</v>
      </c>
      <c r="C36" s="77">
        <f>Simulador!D36</f>
        <v>0</v>
      </c>
      <c r="D36" s="79">
        <f>Simulador!F36</f>
        <v>0</v>
      </c>
      <c r="E36" s="78">
        <f>IF(OR(C36=0,C36=""),0,VLOOKUP(C36,'Relação de Rubricas'!E:G,3,0))</f>
        <v>0</v>
      </c>
      <c r="F36" s="189">
        <f>Simulador!E36</f>
        <v>0</v>
      </c>
      <c r="G36" s="117">
        <f>IF(F36=1,0,IF(OR($M$15="Admitido",$M$15="Efetivo/Ativo",$M$15="Estab.Constit"),IF(OR(C36=0,C36="",$D$15&gt;E36),0,IF(VLOOKUP(C36,'Relação de Rubricas'!E:J,5,0)="Sim",'Planilha de Calculo'!D36,0)),0))</f>
        <v>0</v>
      </c>
      <c r="H36" s="160">
        <f>IF(F36=1,0,IF(OR($M$15="Admitido",$M$15="Efetivo/Ativo",$M$15="Estab.Constit"),IF(OR(C36=0,C36="",$D$15&gt;E36),0,IF(VLOOKUP(C36,'Relação de Rubricas'!E:J,6,0)="Sim",'Planilha de Calculo'!D36,0)),0))</f>
        <v>0</v>
      </c>
      <c r="I36" s="117">
        <f>IF(F36=1,0,IF(OR($M$15="Efetivo/Inativo",$M$15="Pensionista"),IF(OR(C36=0,C36=""),0,IF(VLOOKUP(C36,'Relação de Rubricas'!E:L,7,0)="Sim",'Planilha de Calculo'!D36,0)),0))</f>
        <v>0</v>
      </c>
      <c r="J36" s="117">
        <f>IF(F36=1,0,IF(OR($M$15="Efetivo/Inativo",$M$15="Pensionista"),IF(OR(C36=0,C36=""),0,IF(VLOOKUP(C36,'Relação de Rubricas'!E:L,8,0)="Sim",'Planilha de Calculo'!D36,0)),0))</f>
        <v>0</v>
      </c>
      <c r="K36" s="120">
        <v>15</v>
      </c>
      <c r="L36" s="128">
        <f>Simulador!I36</f>
        <v>0</v>
      </c>
      <c r="M36" s="161">
        <f>Simulador!K36</f>
        <v>0</v>
      </c>
      <c r="N36" s="189">
        <f>Simulador!J36</f>
        <v>0</v>
      </c>
      <c r="O36" s="118">
        <f>IF(N36=1,0,IF(OR($M$15="Admitido",$M$15="Efetivo/Ativo",$M$15="Estab.Constit"),IF(OR(L36=0,L36=""),0,IF(AND(VLOOKUP(L36,'Relação de Rubricas'!E:J,5,0)="Sim",VLOOKUP(L36,'Relação de Rubricas'!E:J,2,0)="Desconto Facultativo"),'Planilha de Calculo'!M36,0)),0))</f>
        <v>0</v>
      </c>
      <c r="P36" s="160">
        <f>IF(N36=1,0,IF(OR($M$15="Admitido",$M$15="Efetivo/Ativo",$M$15="Estab.Constit"),IF(OR(L36=0,L36=""),0,IF(AND(VLOOKUP(L36,'Relação de Rubricas'!E:J,6,0)="Sim",VLOOKUP(L36,'Relação de Rubricas'!E:J,2,0)="Desconto Obrigatorio"),'Planilha de Calculo'!M36,0)),0))</f>
        <v>0</v>
      </c>
      <c r="Q36" s="117">
        <f>IF(N36=1,0,IF(OR($M$15="Efetivo/Inativo",$M$15="Pensionista"),IF(OR(L36=0,L36=""),0,IF(AND(VLOOKUP(L36,'Relação de Rubricas'!E:J,5,0)="Sim",VLOOKUP(L36,'Relação de Rubricas'!E:J,2,0)="Desconto Facultativo"),'Planilha de Calculo'!M36,0)),0))</f>
        <v>0</v>
      </c>
      <c r="R36" s="117">
        <f>IF(N36=1,0,IF(OR($M$15="Efetivo/Inativo",$M$15="Pensionista"),IF(OR(L36=0,L36=""),0,IF(AND(VLOOKUP(L36,'Relação de Rubricas'!E:J,6,0)="Sim",VLOOKUP(L36,'Relação de Rubricas'!E:J,2,0)="Desconto Obrigatorio"),'Planilha de Calculo'!M36,0)),0))</f>
        <v>0</v>
      </c>
      <c r="S36" s="78">
        <f>Simulador!L36</f>
        <v>0</v>
      </c>
      <c r="T36" s="88">
        <f t="shared" si="0"/>
        <v>0</v>
      </c>
    </row>
    <row r="37" spans="2:20" x14ac:dyDescent="0.2">
      <c r="B37" s="125">
        <v>16</v>
      </c>
      <c r="C37" s="77">
        <f>Simulador!D37</f>
        <v>0</v>
      </c>
      <c r="D37" s="79">
        <f>Simulador!F37</f>
        <v>0</v>
      </c>
      <c r="E37" s="78">
        <f>IF(OR(C37=0,C37=""),0,VLOOKUP(C37,'Relação de Rubricas'!E:G,3,0))</f>
        <v>0</v>
      </c>
      <c r="F37" s="189">
        <f>Simulador!E37</f>
        <v>0</v>
      </c>
      <c r="G37" s="117">
        <f>IF(F37=1,0,IF(OR($M$15="Admitido",$M$15="Efetivo/Ativo",$M$15="Estab.Constit"),IF(OR(C37=0,C37="",$D$15&gt;E37),0,IF(VLOOKUP(C37,'Relação de Rubricas'!E:J,5,0)="Sim",'Planilha de Calculo'!D37,0)),0))</f>
        <v>0</v>
      </c>
      <c r="H37" s="160">
        <f>IF(F37=1,0,IF(OR($M$15="Admitido",$M$15="Efetivo/Ativo",$M$15="Estab.Constit"),IF(OR(C37=0,C37="",$D$15&gt;E37),0,IF(VLOOKUP(C37,'Relação de Rubricas'!E:J,6,0)="Sim",'Planilha de Calculo'!D37,0)),0))</f>
        <v>0</v>
      </c>
      <c r="I37" s="117">
        <f>IF(F37=1,0,IF(OR($M$15="Efetivo/Inativo",$M$15="Pensionista"),IF(OR(C37=0,C37=""),0,IF(VLOOKUP(C37,'Relação de Rubricas'!E:L,7,0)="Sim",'Planilha de Calculo'!D37,0)),0))</f>
        <v>0</v>
      </c>
      <c r="J37" s="117">
        <f>IF(F37=1,0,IF(OR($M$15="Efetivo/Inativo",$M$15="Pensionista"),IF(OR(C37=0,C37=""),0,IF(VLOOKUP(C37,'Relação de Rubricas'!E:L,8,0)="Sim",'Planilha de Calculo'!D37,0)),0))</f>
        <v>0</v>
      </c>
      <c r="K37" s="120">
        <v>16</v>
      </c>
      <c r="L37" s="128">
        <f>Simulador!I37</f>
        <v>0</v>
      </c>
      <c r="M37" s="161">
        <f>Simulador!K37</f>
        <v>0</v>
      </c>
      <c r="N37" s="189">
        <f>Simulador!J37</f>
        <v>0</v>
      </c>
      <c r="O37" s="118">
        <f>IF(N37=1,0,IF(OR($M$15="Admitido",$M$15="Efetivo/Ativo",$M$15="Estab.Constit"),IF(OR(L37=0,L37=""),0,IF(AND(VLOOKUP(L37,'Relação de Rubricas'!E:J,5,0)="Sim",VLOOKUP(L37,'Relação de Rubricas'!E:J,2,0)="Desconto Facultativo"),'Planilha de Calculo'!M37,0)),0))</f>
        <v>0</v>
      </c>
      <c r="P37" s="160">
        <f>IF(N37=1,0,IF(OR($M$15="Admitido",$M$15="Efetivo/Ativo",$M$15="Estab.Constit"),IF(OR(L37=0,L37=""),0,IF(AND(VLOOKUP(L37,'Relação de Rubricas'!E:J,6,0)="Sim",VLOOKUP(L37,'Relação de Rubricas'!E:J,2,0)="Desconto Obrigatorio"),'Planilha de Calculo'!M37,0)),0))</f>
        <v>0</v>
      </c>
      <c r="Q37" s="117">
        <f>IF(N37=1,0,IF(OR($M$15="Efetivo/Inativo",$M$15="Pensionista"),IF(OR(L37=0,L37=""),0,IF(AND(VLOOKUP(L37,'Relação de Rubricas'!E:J,5,0)="Sim",VLOOKUP(L37,'Relação de Rubricas'!E:J,2,0)="Desconto Facultativo"),'Planilha de Calculo'!M37,0)),0))</f>
        <v>0</v>
      </c>
      <c r="R37" s="117">
        <f>IF(N37=1,0,IF(OR($M$15="Efetivo/Inativo",$M$15="Pensionista"),IF(OR(L37=0,L37=""),0,IF(AND(VLOOKUP(L37,'Relação de Rubricas'!E:J,6,0)="Sim",VLOOKUP(L37,'Relação de Rubricas'!E:J,2,0)="Desconto Obrigatorio"),'Planilha de Calculo'!M37,0)),0))</f>
        <v>0</v>
      </c>
      <c r="S37" s="78">
        <f>Simulador!L37</f>
        <v>0</v>
      </c>
      <c r="T37" s="88">
        <f t="shared" si="0"/>
        <v>0</v>
      </c>
    </row>
    <row r="38" spans="2:20" x14ac:dyDescent="0.2">
      <c r="B38" s="125">
        <v>17</v>
      </c>
      <c r="C38" s="77">
        <f>Simulador!D38</f>
        <v>0</v>
      </c>
      <c r="D38" s="79">
        <f>Simulador!F38</f>
        <v>0</v>
      </c>
      <c r="E38" s="78">
        <f>IF(OR(C38=0,C38=""),0,VLOOKUP(C38,'Relação de Rubricas'!E:G,3,0))</f>
        <v>0</v>
      </c>
      <c r="F38" s="189">
        <f>Simulador!E38</f>
        <v>0</v>
      </c>
      <c r="G38" s="117">
        <f>IF(F38=1,0,IF(OR($M$15="Admitido",$M$15="Efetivo/Ativo",$M$15="Estab.Constit"),IF(OR(C38=0,C38="",$D$15&gt;E38),0,IF(VLOOKUP(C38,'Relação de Rubricas'!E:J,5,0)="Sim",'Planilha de Calculo'!D38,0)),0))</f>
        <v>0</v>
      </c>
      <c r="H38" s="160">
        <f>IF(F38=1,0,IF(OR($M$15="Admitido",$M$15="Efetivo/Ativo",$M$15="Estab.Constit"),IF(OR(C38=0,C38="",$D$15&gt;E38),0,IF(VLOOKUP(C38,'Relação de Rubricas'!E:J,6,0)="Sim",'Planilha de Calculo'!D38,0)),0))</f>
        <v>0</v>
      </c>
      <c r="I38" s="117">
        <f>IF(F38=1,0,IF(OR($M$15="Efetivo/Inativo",$M$15="Pensionista"),IF(OR(C38=0,C38=""),0,IF(VLOOKUP(C38,'Relação de Rubricas'!E:L,7,0)="Sim",'Planilha de Calculo'!D38,0)),0))</f>
        <v>0</v>
      </c>
      <c r="J38" s="117">
        <f>IF(F38=1,0,IF(OR($M$15="Efetivo/Inativo",$M$15="Pensionista"),IF(OR(C38=0,C38=""),0,IF(VLOOKUP(C38,'Relação de Rubricas'!E:L,8,0)="Sim",'Planilha de Calculo'!D38,0)),0))</f>
        <v>0</v>
      </c>
      <c r="K38" s="120">
        <v>17</v>
      </c>
      <c r="L38" s="128">
        <f>Simulador!I38</f>
        <v>0</v>
      </c>
      <c r="M38" s="161">
        <f>Simulador!K38</f>
        <v>0</v>
      </c>
      <c r="N38" s="189">
        <f>Simulador!J38</f>
        <v>0</v>
      </c>
      <c r="O38" s="118">
        <f>IF(N38=1,0,IF(OR($M$15="Admitido",$M$15="Efetivo/Ativo",$M$15="Estab.Constit"),IF(OR(L38=0,L38=""),0,IF(AND(VLOOKUP(L38,'Relação de Rubricas'!E:J,5,0)="Sim",VLOOKUP(L38,'Relação de Rubricas'!E:J,2,0)="Desconto Facultativo"),'Planilha de Calculo'!M38,0)),0))</f>
        <v>0</v>
      </c>
      <c r="P38" s="160">
        <f>IF(N38=1,0,IF(OR($M$15="Admitido",$M$15="Efetivo/Ativo",$M$15="Estab.Constit"),IF(OR(L38=0,L38=""),0,IF(AND(VLOOKUP(L38,'Relação de Rubricas'!E:J,6,0)="Sim",VLOOKUP(L38,'Relação de Rubricas'!E:J,2,0)="Desconto Obrigatorio"),'Planilha de Calculo'!M38,0)),0))</f>
        <v>0</v>
      </c>
      <c r="Q38" s="117">
        <f>IF(N38=1,0,IF(OR($M$15="Efetivo/Inativo",$M$15="Pensionista"),IF(OR(L38=0,L38=""),0,IF(AND(VLOOKUP(L38,'Relação de Rubricas'!E:J,5,0)="Sim",VLOOKUP(L38,'Relação de Rubricas'!E:J,2,0)="Desconto Facultativo"),'Planilha de Calculo'!M38,0)),0))</f>
        <v>0</v>
      </c>
      <c r="R38" s="117">
        <f>IF(N38=1,0,IF(OR($M$15="Efetivo/Inativo",$M$15="Pensionista"),IF(OR(L38=0,L38=""),0,IF(AND(VLOOKUP(L38,'Relação de Rubricas'!E:J,6,0)="Sim",VLOOKUP(L38,'Relação de Rubricas'!E:J,2,0)="Desconto Obrigatorio"),'Planilha de Calculo'!M38,0)),0))</f>
        <v>0</v>
      </c>
      <c r="S38" s="78">
        <f>Simulador!L38</f>
        <v>0</v>
      </c>
      <c r="T38" s="88">
        <f t="shared" si="0"/>
        <v>0</v>
      </c>
    </row>
    <row r="39" spans="2:20" x14ac:dyDescent="0.2">
      <c r="B39" s="125">
        <v>18</v>
      </c>
      <c r="C39" s="77">
        <f>Simulador!D39</f>
        <v>0</v>
      </c>
      <c r="D39" s="79">
        <f>Simulador!F39</f>
        <v>0</v>
      </c>
      <c r="E39" s="78">
        <f>IF(OR(C39=0,C39=""),0,VLOOKUP(C39,'Relação de Rubricas'!E:G,3,0))</f>
        <v>0</v>
      </c>
      <c r="F39" s="189">
        <f>Simulador!E39</f>
        <v>0</v>
      </c>
      <c r="G39" s="117">
        <f>IF(F39=1,0,IF(OR($M$15="Admitido",$M$15="Efetivo/Ativo",$M$15="Estab.Constit"),IF(OR(C39=0,C39="",$D$15&gt;E39),0,IF(VLOOKUP(C39,'Relação de Rubricas'!E:J,5,0)="Sim",'Planilha de Calculo'!D39,0)),0))</f>
        <v>0</v>
      </c>
      <c r="H39" s="160">
        <f>IF(F39=1,0,IF(OR($M$15="Admitido",$M$15="Efetivo/Ativo",$M$15="Estab.Constit"),IF(OR(C39=0,C39="",$D$15&gt;E39),0,IF(VLOOKUP(C39,'Relação de Rubricas'!E:J,6,0)="Sim",'Planilha de Calculo'!D39,0)),0))</f>
        <v>0</v>
      </c>
      <c r="I39" s="117">
        <f>IF(F39=1,0,IF(OR($M$15="Efetivo/Inativo",$M$15="Pensionista"),IF(OR(C39=0,C39=""),0,IF(VLOOKUP(C39,'Relação de Rubricas'!E:L,7,0)="Sim",'Planilha de Calculo'!D39,0)),0))</f>
        <v>0</v>
      </c>
      <c r="J39" s="117">
        <f>IF(F39=1,0,IF(OR($M$15="Efetivo/Inativo",$M$15="Pensionista"),IF(OR(C39=0,C39=""),0,IF(VLOOKUP(C39,'Relação de Rubricas'!E:L,8,0)="Sim",'Planilha de Calculo'!D39,0)),0))</f>
        <v>0</v>
      </c>
      <c r="K39" s="120">
        <v>18</v>
      </c>
      <c r="L39" s="128">
        <f>Simulador!I39</f>
        <v>0</v>
      </c>
      <c r="M39" s="161">
        <f>Simulador!K39</f>
        <v>0</v>
      </c>
      <c r="N39" s="189">
        <f>Simulador!J39</f>
        <v>0</v>
      </c>
      <c r="O39" s="118">
        <f>IF(N39=1,0,IF(OR($M$15="Admitido",$M$15="Efetivo/Ativo",$M$15="Estab.Constit"),IF(OR(L39=0,L39=""),0,IF(AND(VLOOKUP(L39,'Relação de Rubricas'!E:J,5,0)="Sim",VLOOKUP(L39,'Relação de Rubricas'!E:J,2,0)="Desconto Facultativo"),'Planilha de Calculo'!M39,0)),0))</f>
        <v>0</v>
      </c>
      <c r="P39" s="160">
        <f>IF(N39=1,0,IF(OR($M$15="Admitido",$M$15="Efetivo/Ativo",$M$15="Estab.Constit"),IF(OR(L39=0,L39=""),0,IF(AND(VLOOKUP(L39,'Relação de Rubricas'!E:J,6,0)="Sim",VLOOKUP(L39,'Relação de Rubricas'!E:J,2,0)="Desconto Obrigatorio"),'Planilha de Calculo'!M39,0)),0))</f>
        <v>0</v>
      </c>
      <c r="Q39" s="117">
        <f>IF(N39=1,0,IF(OR($M$15="Efetivo/Inativo",$M$15="Pensionista"),IF(OR(L39=0,L39=""),0,IF(AND(VLOOKUP(L39,'Relação de Rubricas'!E:J,5,0)="Sim",VLOOKUP(L39,'Relação de Rubricas'!E:J,2,0)="Desconto Facultativo"),'Planilha de Calculo'!M39,0)),0))</f>
        <v>0</v>
      </c>
      <c r="R39" s="117">
        <f>IF(N39=1,0,IF(OR($M$15="Efetivo/Inativo",$M$15="Pensionista"),IF(OR(L39=0,L39=""),0,IF(AND(VLOOKUP(L39,'Relação de Rubricas'!E:J,6,0)="Sim",VLOOKUP(L39,'Relação de Rubricas'!E:J,2,0)="Desconto Obrigatorio"),'Planilha de Calculo'!M39,0)),0))</f>
        <v>0</v>
      </c>
      <c r="S39" s="78">
        <f>Simulador!L39</f>
        <v>0</v>
      </c>
      <c r="T39" s="88">
        <f t="shared" si="0"/>
        <v>0</v>
      </c>
    </row>
    <row r="40" spans="2:20" x14ac:dyDescent="0.2">
      <c r="B40" s="125">
        <v>19</v>
      </c>
      <c r="C40" s="77">
        <f>Simulador!D40</f>
        <v>0</v>
      </c>
      <c r="D40" s="79">
        <f>Simulador!F40</f>
        <v>0</v>
      </c>
      <c r="E40" s="78">
        <f>IF(OR(C40=0,C40=""),0,VLOOKUP(C40,'Relação de Rubricas'!E:G,3,0))</f>
        <v>0</v>
      </c>
      <c r="F40" s="189">
        <f>Simulador!E40</f>
        <v>0</v>
      </c>
      <c r="G40" s="117">
        <f>IF(F40=1,0,IF(OR($M$15="Admitido",$M$15="Efetivo/Ativo",$M$15="Estab.Constit"),IF(OR(C40=0,C40="",$D$15&gt;E40),0,IF(VLOOKUP(C40,'Relação de Rubricas'!E:J,5,0)="Sim",'Planilha de Calculo'!D40,0)),0))</f>
        <v>0</v>
      </c>
      <c r="H40" s="160">
        <f>IF(F40=1,0,IF(OR($M$15="Admitido",$M$15="Efetivo/Ativo",$M$15="Estab.Constit"),IF(OR(C40=0,C40="",$D$15&gt;E40),0,IF(VLOOKUP(C40,'Relação de Rubricas'!E:J,6,0)="Sim",'Planilha de Calculo'!D40,0)),0))</f>
        <v>0</v>
      </c>
      <c r="I40" s="117">
        <f>IF(F40=1,0,IF(OR($M$15="Efetivo/Inativo",$M$15="Pensionista"),IF(OR(C40=0,C40=""),0,IF(VLOOKUP(C40,'Relação de Rubricas'!E:L,7,0)="Sim",'Planilha de Calculo'!D40,0)),0))</f>
        <v>0</v>
      </c>
      <c r="J40" s="117">
        <f>IF(F40=1,0,IF(OR($M$15="Efetivo/Inativo",$M$15="Pensionista"),IF(OR(C40=0,C40=""),0,IF(VLOOKUP(C40,'Relação de Rubricas'!E:L,8,0)="Sim",'Planilha de Calculo'!D40,0)),0))</f>
        <v>0</v>
      </c>
      <c r="K40" s="120">
        <v>19</v>
      </c>
      <c r="L40" s="128">
        <f>Simulador!I40</f>
        <v>0</v>
      </c>
      <c r="M40" s="161">
        <f>Simulador!K40</f>
        <v>0</v>
      </c>
      <c r="N40" s="189">
        <f>Simulador!J40</f>
        <v>0</v>
      </c>
      <c r="O40" s="118">
        <f>IF(N40=1,0,IF(OR($M$15="Admitido",$M$15="Efetivo/Ativo",$M$15="Estab.Constit"),IF(OR(L40=0,L40=""),0,IF(AND(VLOOKUP(L40,'Relação de Rubricas'!E:J,5,0)="Sim",VLOOKUP(L40,'Relação de Rubricas'!E:J,2,0)="Desconto Facultativo"),'Planilha de Calculo'!M40,0)),0))</f>
        <v>0</v>
      </c>
      <c r="P40" s="160">
        <f>IF(N40=1,0,IF(OR($M$15="Admitido",$M$15="Efetivo/Ativo",$M$15="Estab.Constit"),IF(OR(L40=0,L40=""),0,IF(AND(VLOOKUP(L40,'Relação de Rubricas'!E:J,6,0)="Sim",VLOOKUP(L40,'Relação de Rubricas'!E:J,2,0)="Desconto Obrigatorio"),'Planilha de Calculo'!M40,0)),0))</f>
        <v>0</v>
      </c>
      <c r="Q40" s="117">
        <f>IF(N40=1,0,IF(OR($M$15="Efetivo/Inativo",$M$15="Pensionista"),IF(OR(L40=0,L40=""),0,IF(AND(VLOOKUP(L40,'Relação de Rubricas'!E:J,5,0)="Sim",VLOOKUP(L40,'Relação de Rubricas'!E:J,2,0)="Desconto Facultativo"),'Planilha de Calculo'!M40,0)),0))</f>
        <v>0</v>
      </c>
      <c r="R40" s="117">
        <f>IF(N40=1,0,IF(OR($M$15="Efetivo/Inativo",$M$15="Pensionista"),IF(OR(L40=0,L40=""),0,IF(AND(VLOOKUP(L40,'Relação de Rubricas'!E:J,6,0)="Sim",VLOOKUP(L40,'Relação de Rubricas'!E:J,2,0)="Desconto Obrigatorio"),'Planilha de Calculo'!M40,0)),0))</f>
        <v>0</v>
      </c>
      <c r="S40" s="78">
        <f>Simulador!L40</f>
        <v>0</v>
      </c>
      <c r="T40" s="88">
        <f t="shared" si="0"/>
        <v>0</v>
      </c>
    </row>
    <row r="41" spans="2:20" x14ac:dyDescent="0.2">
      <c r="B41" s="125">
        <v>20</v>
      </c>
      <c r="C41" s="77">
        <f>Simulador!D41</f>
        <v>0</v>
      </c>
      <c r="D41" s="79">
        <f>Simulador!F41</f>
        <v>0</v>
      </c>
      <c r="E41" s="78">
        <f>IF(OR(C41=0,C41=""),0,VLOOKUP(C41,'Relação de Rubricas'!E:G,3,0))</f>
        <v>0</v>
      </c>
      <c r="F41" s="189">
        <f>Simulador!E41</f>
        <v>0</v>
      </c>
      <c r="G41" s="117">
        <f>IF(F41=1,0,IF(OR($M$15="Admitido",$M$15="Efetivo/Ativo",$M$15="Estab.Constit"),IF(OR(C41=0,C41="",$D$15&gt;E41),0,IF(VLOOKUP(C41,'Relação de Rubricas'!E:J,5,0)="Sim",'Planilha de Calculo'!D41,0)),0))</f>
        <v>0</v>
      </c>
      <c r="H41" s="160">
        <f>IF(F41=1,0,IF(OR($M$15="Admitido",$M$15="Efetivo/Ativo",$M$15="Estab.Constit"),IF(OR(C41=0,C41="",$D$15&gt;E41),0,IF(VLOOKUP(C41,'Relação de Rubricas'!E:J,6,0)="Sim",'Planilha de Calculo'!D41,0)),0))</f>
        <v>0</v>
      </c>
      <c r="I41" s="117">
        <f>IF(F41=1,0,IF(OR($M$15="Efetivo/Inativo",$M$15="Pensionista"),IF(OR(C41=0,C41=""),0,IF(VLOOKUP(C41,'Relação de Rubricas'!E:L,7,0)="Sim",'Planilha de Calculo'!D41,0)),0))</f>
        <v>0</v>
      </c>
      <c r="J41" s="117">
        <f>IF(F41=1,0,IF(OR($M$15="Efetivo/Inativo",$M$15="Pensionista"),IF(OR(C41=0,C41=""),0,IF(VLOOKUP(C41,'Relação de Rubricas'!E:L,8,0)="Sim",'Planilha de Calculo'!D41,0)),0))</f>
        <v>0</v>
      </c>
      <c r="K41" s="120">
        <v>20</v>
      </c>
      <c r="L41" s="128">
        <f>Simulador!I41</f>
        <v>0</v>
      </c>
      <c r="M41" s="161">
        <f>Simulador!K41</f>
        <v>0</v>
      </c>
      <c r="N41" s="189">
        <f>Simulador!J41</f>
        <v>0</v>
      </c>
      <c r="O41" s="118">
        <f>IF(N41=1,0,IF(OR($M$15="Admitido",$M$15="Efetivo/Ativo",$M$15="Estab.Constit"),IF(OR(L41=0,L41=""),0,IF(AND(VLOOKUP(L41,'Relação de Rubricas'!E:J,5,0)="Sim",VLOOKUP(L41,'Relação de Rubricas'!E:J,2,0)="Desconto Facultativo"),'Planilha de Calculo'!M41,0)),0))</f>
        <v>0</v>
      </c>
      <c r="P41" s="160">
        <f>IF(N41=1,0,IF(OR($M$15="Admitido",$M$15="Efetivo/Ativo",$M$15="Estab.Constit"),IF(OR(L41=0,L41=""),0,IF(AND(VLOOKUP(L41,'Relação de Rubricas'!E:J,6,0)="Sim",VLOOKUP(L41,'Relação de Rubricas'!E:J,2,0)="Desconto Obrigatorio"),'Planilha de Calculo'!M41,0)),0))</f>
        <v>0</v>
      </c>
      <c r="Q41" s="117">
        <f>IF(N41=1,0,IF(OR($M$15="Efetivo/Inativo",$M$15="Pensionista"),IF(OR(L41=0,L41=""),0,IF(AND(VLOOKUP(L41,'Relação de Rubricas'!E:J,5,0)="Sim",VLOOKUP(L41,'Relação de Rubricas'!E:J,2,0)="Desconto Facultativo"),'Planilha de Calculo'!M41,0)),0))</f>
        <v>0</v>
      </c>
      <c r="R41" s="117">
        <f>IF(N41=1,0,IF(OR($M$15="Efetivo/Inativo",$M$15="Pensionista"),IF(OR(L41=0,L41=""),0,IF(AND(VLOOKUP(L41,'Relação de Rubricas'!E:J,6,0)="Sim",VLOOKUP(L41,'Relação de Rubricas'!E:J,2,0)="Desconto Obrigatorio"),'Planilha de Calculo'!M41,0)),0))</f>
        <v>0</v>
      </c>
      <c r="S41" s="78">
        <f>Simulador!L41</f>
        <v>0</v>
      </c>
      <c r="T41" s="88">
        <f t="shared" si="0"/>
        <v>0</v>
      </c>
    </row>
    <row r="42" spans="2:20" x14ac:dyDescent="0.2">
      <c r="B42" s="125">
        <v>21</v>
      </c>
      <c r="C42" s="77">
        <f>Simulador!D42</f>
        <v>0</v>
      </c>
      <c r="D42" s="79">
        <f>Simulador!F42</f>
        <v>0</v>
      </c>
      <c r="E42" s="78">
        <f>IF(OR(C42=0,C42=""),0,VLOOKUP(C42,'Relação de Rubricas'!E:G,3,0))</f>
        <v>0</v>
      </c>
      <c r="F42" s="189">
        <f>Simulador!E42</f>
        <v>0</v>
      </c>
      <c r="G42" s="117">
        <f>IF(F42=1,0,IF(OR($M$15="Admitido",$M$15="Efetivo/Ativo",$M$15="Estab.Constit"),IF(OR(C42=0,C42="",$D$15&gt;E42),0,IF(VLOOKUP(C42,'Relação de Rubricas'!E:J,5,0)="Sim",'Planilha de Calculo'!D42,0)),0))</f>
        <v>0</v>
      </c>
      <c r="H42" s="160">
        <f>IF(F42=1,0,IF(OR($M$15="Admitido",$M$15="Efetivo/Ativo",$M$15="Estab.Constit"),IF(OR(C42=0,C42="",$D$15&gt;E42),0,IF(VLOOKUP(C42,'Relação de Rubricas'!E:J,6,0)="Sim",'Planilha de Calculo'!D42,0)),0))</f>
        <v>0</v>
      </c>
      <c r="I42" s="117">
        <f>IF(F42=1,0,IF(OR($M$15="Efetivo/Inativo",$M$15="Pensionista"),IF(OR(C42=0,C42=""),0,IF(VLOOKUP(C42,'Relação de Rubricas'!E:L,7,0)="Sim",'Planilha de Calculo'!D42,0)),0))</f>
        <v>0</v>
      </c>
      <c r="J42" s="117">
        <f>IF(F42=1,0,IF(OR($M$15="Efetivo/Inativo",$M$15="Pensionista"),IF(OR(C42=0,C42=""),0,IF(VLOOKUP(C42,'Relação de Rubricas'!E:L,8,0)="Sim",'Planilha de Calculo'!D42,0)),0))</f>
        <v>0</v>
      </c>
      <c r="K42" s="120">
        <v>21</v>
      </c>
      <c r="L42" s="128">
        <f>Simulador!I42</f>
        <v>0</v>
      </c>
      <c r="M42" s="161">
        <f>Simulador!K42</f>
        <v>0</v>
      </c>
      <c r="N42" s="189">
        <f>Simulador!J42</f>
        <v>0</v>
      </c>
      <c r="O42" s="118">
        <f>IF(N42=1,0,IF(OR($M$15="Admitido",$M$15="Efetivo/Ativo",$M$15="Estab.Constit"),IF(OR(L42=0,L42=""),0,IF(AND(VLOOKUP(L42,'Relação de Rubricas'!E:J,5,0)="Sim",VLOOKUP(L42,'Relação de Rubricas'!E:J,2,0)="Desconto Facultativo"),'Planilha de Calculo'!M42,0)),0))</f>
        <v>0</v>
      </c>
      <c r="P42" s="160">
        <f>IF(N42=1,0,IF(OR($M$15="Admitido",$M$15="Efetivo/Ativo",$M$15="Estab.Constit"),IF(OR(L42=0,L42=""),0,IF(AND(VLOOKUP(L42,'Relação de Rubricas'!E:J,6,0)="Sim",VLOOKUP(L42,'Relação de Rubricas'!E:J,2,0)="Desconto Obrigatorio"),'Planilha de Calculo'!M42,0)),0))</f>
        <v>0</v>
      </c>
      <c r="Q42" s="117">
        <f>IF(N42=1,0,IF(OR($M$15="Efetivo/Inativo",$M$15="Pensionista"),IF(OR(L42=0,L42=""),0,IF(AND(VLOOKUP(L42,'Relação de Rubricas'!E:J,5,0)="Sim",VLOOKUP(L42,'Relação de Rubricas'!E:J,2,0)="Desconto Facultativo"),'Planilha de Calculo'!M42,0)),0))</f>
        <v>0</v>
      </c>
      <c r="R42" s="117">
        <f>IF(N42=1,0,IF(OR($M$15="Efetivo/Inativo",$M$15="Pensionista"),IF(OR(L42=0,L42=""),0,IF(AND(VLOOKUP(L42,'Relação de Rubricas'!E:J,6,0)="Sim",VLOOKUP(L42,'Relação de Rubricas'!E:J,2,0)="Desconto Obrigatorio"),'Planilha de Calculo'!M42,0)),0))</f>
        <v>0</v>
      </c>
      <c r="S42" s="78">
        <f>Simulador!L42</f>
        <v>0</v>
      </c>
      <c r="T42" s="88">
        <f t="shared" si="0"/>
        <v>0</v>
      </c>
    </row>
    <row r="43" spans="2:20" x14ac:dyDescent="0.2">
      <c r="B43" s="125">
        <v>22</v>
      </c>
      <c r="C43" s="77">
        <f>Simulador!D43</f>
        <v>0</v>
      </c>
      <c r="D43" s="79">
        <f>Simulador!F43</f>
        <v>0</v>
      </c>
      <c r="E43" s="78">
        <f>IF(OR(C43=0,C43=""),0,VLOOKUP(C43,'Relação de Rubricas'!E:G,3,0))</f>
        <v>0</v>
      </c>
      <c r="F43" s="189">
        <f>Simulador!E43</f>
        <v>0</v>
      </c>
      <c r="G43" s="117">
        <f>IF(F43=1,0,IF(OR($M$15="Admitido",$M$15="Efetivo/Ativo",$M$15="Estab.Constit"),IF(OR(C43=0,C43="",$D$15&gt;E43),0,IF(VLOOKUP(C43,'Relação de Rubricas'!E:J,5,0)="Sim",'Planilha de Calculo'!D43,0)),0))</f>
        <v>0</v>
      </c>
      <c r="H43" s="160">
        <f>IF(F43=1,0,IF(OR($M$15="Admitido",$M$15="Efetivo/Ativo",$M$15="Estab.Constit"),IF(OR(C43=0,C43="",$D$15&gt;E43),0,IF(VLOOKUP(C43,'Relação de Rubricas'!E:J,6,0)="Sim",'Planilha de Calculo'!D43,0)),0))</f>
        <v>0</v>
      </c>
      <c r="I43" s="117">
        <f>IF(F43=1,0,IF(OR($M$15="Efetivo/Inativo",$M$15="Pensionista"),IF(OR(C43=0,C43=""),0,IF(VLOOKUP(C43,'Relação de Rubricas'!E:L,7,0)="Sim",'Planilha de Calculo'!D43,0)),0))</f>
        <v>0</v>
      </c>
      <c r="J43" s="117">
        <f>IF(F43=1,0,IF(OR($M$15="Efetivo/Inativo",$M$15="Pensionista"),IF(OR(C43=0,C43=""),0,IF(VLOOKUP(C43,'Relação de Rubricas'!E:L,8,0)="Sim",'Planilha de Calculo'!D43,0)),0))</f>
        <v>0</v>
      </c>
      <c r="K43" s="120">
        <v>22</v>
      </c>
      <c r="L43" s="128">
        <f>Simulador!I43</f>
        <v>0</v>
      </c>
      <c r="M43" s="161">
        <f>Simulador!K43</f>
        <v>0</v>
      </c>
      <c r="N43" s="189">
        <f>Simulador!J43</f>
        <v>0</v>
      </c>
      <c r="O43" s="118">
        <f>IF(N43=1,0,IF(OR($M$15="Admitido",$M$15="Efetivo/Ativo",$M$15="Estab.Constit"),IF(OR(L43=0,L43=""),0,IF(AND(VLOOKUP(L43,'Relação de Rubricas'!E:J,5,0)="Sim",VLOOKUP(L43,'Relação de Rubricas'!E:J,2,0)="Desconto Facultativo"),'Planilha de Calculo'!M43,0)),0))</f>
        <v>0</v>
      </c>
      <c r="P43" s="160">
        <f>IF(N43=1,0,IF(OR($M$15="Admitido",$M$15="Efetivo/Ativo",$M$15="Estab.Constit"),IF(OR(L43=0,L43=""),0,IF(AND(VLOOKUP(L43,'Relação de Rubricas'!E:J,6,0)="Sim",VLOOKUP(L43,'Relação de Rubricas'!E:J,2,0)="Desconto Obrigatorio"),'Planilha de Calculo'!M43,0)),0))</f>
        <v>0</v>
      </c>
      <c r="Q43" s="117">
        <f>IF(N43=1,0,IF(OR($M$15="Efetivo/Inativo",$M$15="Pensionista"),IF(OR(L43=0,L43=""),0,IF(AND(VLOOKUP(L43,'Relação de Rubricas'!E:J,5,0)="Sim",VLOOKUP(L43,'Relação de Rubricas'!E:J,2,0)="Desconto Facultativo"),'Planilha de Calculo'!M43,0)),0))</f>
        <v>0</v>
      </c>
      <c r="R43" s="117">
        <f>IF(N43=1,0,IF(OR($M$15="Efetivo/Inativo",$M$15="Pensionista"),IF(OR(L43=0,L43=""),0,IF(AND(VLOOKUP(L43,'Relação de Rubricas'!E:J,6,0)="Sim",VLOOKUP(L43,'Relação de Rubricas'!E:J,2,0)="Desconto Obrigatorio"),'Planilha de Calculo'!M43,0)),0))</f>
        <v>0</v>
      </c>
      <c r="S43" s="78">
        <f>Simulador!L43</f>
        <v>0</v>
      </c>
      <c r="T43" s="88">
        <f t="shared" si="0"/>
        <v>0</v>
      </c>
    </row>
    <row r="44" spans="2:20" x14ac:dyDescent="0.2">
      <c r="B44" s="125">
        <v>23</v>
      </c>
      <c r="C44" s="77">
        <f>Simulador!D44</f>
        <v>0</v>
      </c>
      <c r="D44" s="79">
        <f>Simulador!F44</f>
        <v>0</v>
      </c>
      <c r="E44" s="78">
        <f>IF(OR(C44=0,C44=""),0,VLOOKUP(C44,'Relação de Rubricas'!E:G,3,0))</f>
        <v>0</v>
      </c>
      <c r="F44" s="189">
        <f>Simulador!E44</f>
        <v>0</v>
      </c>
      <c r="G44" s="117">
        <f>IF(F44=1,0,IF(OR($M$15="Admitido",$M$15="Efetivo/Ativo",$M$15="Estab.Constit"),IF(OR(C44=0,C44="",$D$15&gt;E44),0,IF(VLOOKUP(C44,'Relação de Rubricas'!E:J,5,0)="Sim",'Planilha de Calculo'!D44,0)),0))</f>
        <v>0</v>
      </c>
      <c r="H44" s="160">
        <f>IF(F44=1,0,IF(OR($M$15="Admitido",$M$15="Efetivo/Ativo",$M$15="Estab.Constit"),IF(OR(C44=0,C44="",$D$15&gt;E44),0,IF(VLOOKUP(C44,'Relação de Rubricas'!E:J,6,0)="Sim",'Planilha de Calculo'!D44,0)),0))</f>
        <v>0</v>
      </c>
      <c r="I44" s="117">
        <f>IF(F44=1,0,IF(OR($M$15="Efetivo/Inativo",$M$15="Pensionista"),IF(OR(C44=0,C44=""),0,IF(VLOOKUP(C44,'Relação de Rubricas'!E:L,7,0)="Sim",'Planilha de Calculo'!D44,0)),0))</f>
        <v>0</v>
      </c>
      <c r="J44" s="117">
        <f>IF(F44=1,0,IF(OR($M$15="Efetivo/Inativo",$M$15="Pensionista"),IF(OR(C44=0,C44=""),0,IF(VLOOKUP(C44,'Relação de Rubricas'!E:L,8,0)="Sim",'Planilha de Calculo'!D44,0)),0))</f>
        <v>0</v>
      </c>
      <c r="K44" s="120">
        <v>23</v>
      </c>
      <c r="L44" s="128">
        <f>Simulador!I44</f>
        <v>0</v>
      </c>
      <c r="M44" s="161">
        <f>Simulador!K44</f>
        <v>0</v>
      </c>
      <c r="N44" s="189">
        <f>Simulador!J44</f>
        <v>0</v>
      </c>
      <c r="O44" s="118">
        <f>IF(N44=1,0,IF(OR($M$15="Admitido",$M$15="Efetivo/Ativo",$M$15="Estab.Constit"),IF(OR(L44=0,L44=""),0,IF(AND(VLOOKUP(L44,'Relação de Rubricas'!E:J,5,0)="Sim",VLOOKUP(L44,'Relação de Rubricas'!E:J,2,0)="Desconto Facultativo"),'Planilha de Calculo'!M44,0)),0))</f>
        <v>0</v>
      </c>
      <c r="P44" s="160">
        <f>IF(N44=1,0,IF(OR($M$15="Admitido",$M$15="Efetivo/Ativo",$M$15="Estab.Constit"),IF(OR(L44=0,L44=""),0,IF(AND(VLOOKUP(L44,'Relação de Rubricas'!E:J,6,0)="Sim",VLOOKUP(L44,'Relação de Rubricas'!E:J,2,0)="Desconto Obrigatorio"),'Planilha de Calculo'!M44,0)),0))</f>
        <v>0</v>
      </c>
      <c r="Q44" s="117">
        <f>IF(N44=1,0,IF(OR($M$15="Efetivo/Inativo",$M$15="Pensionista"),IF(OR(L44=0,L44=""),0,IF(AND(VLOOKUP(L44,'Relação de Rubricas'!E:J,5,0)="Sim",VLOOKUP(L44,'Relação de Rubricas'!E:J,2,0)="Desconto Facultativo"),'Planilha de Calculo'!M44,0)),0))</f>
        <v>0</v>
      </c>
      <c r="R44" s="117">
        <f>IF(N44=1,0,IF(OR($M$15="Efetivo/Inativo",$M$15="Pensionista"),IF(OR(L44=0,L44=""),0,IF(AND(VLOOKUP(L44,'Relação de Rubricas'!E:J,6,0)="Sim",VLOOKUP(L44,'Relação de Rubricas'!E:J,2,0)="Desconto Obrigatorio"),'Planilha de Calculo'!M44,0)),0))</f>
        <v>0</v>
      </c>
      <c r="S44" s="78">
        <f>Simulador!L44</f>
        <v>0</v>
      </c>
      <c r="T44" s="88">
        <f t="shared" si="0"/>
        <v>0</v>
      </c>
    </row>
    <row r="45" spans="2:20" x14ac:dyDescent="0.2">
      <c r="B45" s="125">
        <v>24</v>
      </c>
      <c r="C45" s="77">
        <f>Simulador!D45</f>
        <v>0</v>
      </c>
      <c r="D45" s="79">
        <f>Simulador!F45</f>
        <v>0</v>
      </c>
      <c r="E45" s="78">
        <f>IF(OR(C45=0,C45=""),0,VLOOKUP(C45,'Relação de Rubricas'!E:G,3,0))</f>
        <v>0</v>
      </c>
      <c r="F45" s="189">
        <f>Simulador!E45</f>
        <v>0</v>
      </c>
      <c r="G45" s="117">
        <f>IF(F45=1,0,IF(OR($M$15="Admitido",$M$15="Efetivo/Ativo",$M$15="Estab.Constit"),IF(OR(C45=0,C45="",$D$15&gt;E45),0,IF(VLOOKUP(C45,'Relação de Rubricas'!E:J,5,0)="Sim",'Planilha de Calculo'!D45,0)),0))</f>
        <v>0</v>
      </c>
      <c r="H45" s="160">
        <f>IF(F45=1,0,IF(OR($M$15="Admitido",$M$15="Efetivo/Ativo",$M$15="Estab.Constit"),IF(OR(C45=0,C45="",$D$15&gt;E45),0,IF(VLOOKUP(C45,'Relação de Rubricas'!E:J,6,0)="Sim",'Planilha de Calculo'!D45,0)),0))</f>
        <v>0</v>
      </c>
      <c r="I45" s="117">
        <f>IF(F45=1,0,IF(OR($M$15="Efetivo/Inativo",$M$15="Pensionista"),IF(OR(C45=0,C45=""),0,IF(VLOOKUP(C45,'Relação de Rubricas'!E:L,7,0)="Sim",'Planilha de Calculo'!D45,0)),0))</f>
        <v>0</v>
      </c>
      <c r="J45" s="117">
        <f>IF(F45=1,0,IF(OR($M$15="Efetivo/Inativo",$M$15="Pensionista"),IF(OR(C45=0,C45=""),0,IF(VLOOKUP(C45,'Relação de Rubricas'!E:L,8,0)="Sim",'Planilha de Calculo'!D45,0)),0))</f>
        <v>0</v>
      </c>
      <c r="K45" s="120">
        <v>24</v>
      </c>
      <c r="L45" s="128">
        <f>Simulador!I45</f>
        <v>0</v>
      </c>
      <c r="M45" s="161">
        <f>Simulador!K45</f>
        <v>0</v>
      </c>
      <c r="N45" s="189">
        <f>Simulador!J45</f>
        <v>0</v>
      </c>
      <c r="O45" s="118">
        <f>IF(N45=1,0,IF(OR($M$15="Admitido",$M$15="Efetivo/Ativo",$M$15="Estab.Constit"),IF(OR(L45=0,L45=""),0,IF(AND(VLOOKUP(L45,'Relação de Rubricas'!E:J,5,0)="Sim",VLOOKUP(L45,'Relação de Rubricas'!E:J,2,0)="Desconto Facultativo"),'Planilha de Calculo'!M45,0)),0))</f>
        <v>0</v>
      </c>
      <c r="P45" s="160">
        <f>IF(N45=1,0,IF(OR($M$15="Admitido",$M$15="Efetivo/Ativo",$M$15="Estab.Constit"),IF(OR(L45=0,L45=""),0,IF(AND(VLOOKUP(L45,'Relação de Rubricas'!E:J,6,0)="Sim",VLOOKUP(L45,'Relação de Rubricas'!E:J,2,0)="Desconto Obrigatorio"),'Planilha de Calculo'!M45,0)),0))</f>
        <v>0</v>
      </c>
      <c r="Q45" s="117">
        <f>IF(N45=1,0,IF(OR($M$15="Efetivo/Inativo",$M$15="Pensionista"),IF(OR(L45=0,L45=""),0,IF(AND(VLOOKUP(L45,'Relação de Rubricas'!E:J,5,0)="Sim",VLOOKUP(L45,'Relação de Rubricas'!E:J,2,0)="Desconto Facultativo"),'Planilha de Calculo'!M45,0)),0))</f>
        <v>0</v>
      </c>
      <c r="R45" s="117">
        <f>IF(N45=1,0,IF(OR($M$15="Efetivo/Inativo",$M$15="Pensionista"),IF(OR(L45=0,L45=""),0,IF(AND(VLOOKUP(L45,'Relação de Rubricas'!E:J,6,0)="Sim",VLOOKUP(L45,'Relação de Rubricas'!E:J,2,0)="Desconto Obrigatorio"),'Planilha de Calculo'!M45,0)),0))</f>
        <v>0</v>
      </c>
      <c r="S45" s="78">
        <f>Simulador!L45</f>
        <v>0</v>
      </c>
      <c r="T45" s="88">
        <f t="shared" si="0"/>
        <v>0</v>
      </c>
    </row>
    <row r="46" spans="2:20" x14ac:dyDescent="0.2">
      <c r="B46" s="125">
        <v>25</v>
      </c>
      <c r="C46" s="77">
        <f>Simulador!D46</f>
        <v>0</v>
      </c>
      <c r="D46" s="79">
        <f>Simulador!F46</f>
        <v>0</v>
      </c>
      <c r="E46" s="78">
        <f>IF(OR(C46=0,C46=""),0,VLOOKUP(C46,'Relação de Rubricas'!E:G,3,0))</f>
        <v>0</v>
      </c>
      <c r="F46" s="189">
        <f>Simulador!E46</f>
        <v>0</v>
      </c>
      <c r="G46" s="117">
        <f>IF(F46=1,0,IF(OR($M$15="Admitido",$M$15="Efetivo/Ativo",$M$15="Estab.Constit"),IF(OR(C46=0,C46="",$D$15&gt;E46),0,IF(VLOOKUP(C46,'Relação de Rubricas'!E:J,5,0)="Sim",'Planilha de Calculo'!D46,0)),0))</f>
        <v>0</v>
      </c>
      <c r="H46" s="160">
        <f>IF(F46=1,0,IF(OR($M$15="Admitido",$M$15="Efetivo/Ativo",$M$15="Estab.Constit"),IF(OR(C46=0,C46="",$D$15&gt;E46),0,IF(VLOOKUP(C46,'Relação de Rubricas'!E:J,6,0)="Sim",'Planilha de Calculo'!D46,0)),0))</f>
        <v>0</v>
      </c>
      <c r="I46" s="117">
        <f>IF(F46=1,0,IF(OR($M$15="Efetivo/Inativo",$M$15="Pensionista"),IF(OR(C46=0,C46=""),0,IF(VLOOKUP(C46,'Relação de Rubricas'!E:L,7,0)="Sim",'Planilha de Calculo'!D46,0)),0))</f>
        <v>0</v>
      </c>
      <c r="J46" s="117">
        <f>IF(F46=1,0,IF(OR($M$15="Efetivo/Inativo",$M$15="Pensionista"),IF(OR(C46=0,C46=""),0,IF(VLOOKUP(C46,'Relação de Rubricas'!E:L,8,0)="Sim",'Planilha de Calculo'!D46,0)),0))</f>
        <v>0</v>
      </c>
      <c r="K46" s="120">
        <v>25</v>
      </c>
      <c r="L46" s="128">
        <f>Simulador!I46</f>
        <v>0</v>
      </c>
      <c r="M46" s="161">
        <f>Simulador!K46</f>
        <v>0</v>
      </c>
      <c r="N46" s="189">
        <f>Simulador!J46</f>
        <v>0</v>
      </c>
      <c r="O46" s="118">
        <f>IF(N46=1,0,IF(OR($M$15="Admitido",$M$15="Efetivo/Ativo",$M$15="Estab.Constit"),IF(OR(L46=0,L46=""),0,IF(AND(VLOOKUP(L46,'Relação de Rubricas'!E:J,5,0)="Sim",VLOOKUP(L46,'Relação de Rubricas'!E:J,2,0)="Desconto Facultativo"),'Planilha de Calculo'!M46,0)),0))</f>
        <v>0</v>
      </c>
      <c r="P46" s="160">
        <f>IF(N46=1,0,IF(OR($M$15="Admitido",$M$15="Efetivo/Ativo",$M$15="Estab.Constit"),IF(OR(L46=0,L46=""),0,IF(AND(VLOOKUP(L46,'Relação de Rubricas'!E:J,6,0)="Sim",VLOOKUP(L46,'Relação de Rubricas'!E:J,2,0)="Desconto Obrigatorio"),'Planilha de Calculo'!M46,0)),0))</f>
        <v>0</v>
      </c>
      <c r="Q46" s="117">
        <f>IF(N46=1,0,IF(OR($M$15="Efetivo/Inativo",$M$15="Pensionista"),IF(OR(L46=0,L46=""),0,IF(AND(VLOOKUP(L46,'Relação de Rubricas'!E:J,5,0)="Sim",VLOOKUP(L46,'Relação de Rubricas'!E:J,2,0)="Desconto Facultativo"),'Planilha de Calculo'!M46,0)),0))</f>
        <v>0</v>
      </c>
      <c r="R46" s="117">
        <f>IF(N46=1,0,IF(OR($M$15="Efetivo/Inativo",$M$15="Pensionista"),IF(OR(L46=0,L46=""),0,IF(AND(VLOOKUP(L46,'Relação de Rubricas'!E:J,6,0)="Sim",VLOOKUP(L46,'Relação de Rubricas'!E:J,2,0)="Desconto Obrigatorio"),'Planilha de Calculo'!M46,0)),0))</f>
        <v>0</v>
      </c>
      <c r="S46" s="78">
        <f>Simulador!L46</f>
        <v>0</v>
      </c>
      <c r="T46" s="88">
        <f t="shared" si="0"/>
        <v>0</v>
      </c>
    </row>
    <row r="47" spans="2:20" x14ac:dyDescent="0.2">
      <c r="B47" s="125">
        <v>26</v>
      </c>
      <c r="C47" s="77">
        <f>Simulador!D47</f>
        <v>0</v>
      </c>
      <c r="D47" s="79">
        <f>Simulador!F47</f>
        <v>0</v>
      </c>
      <c r="E47" s="78">
        <f>IF(OR(C47=0,C47=""),0,VLOOKUP(C47,'Relação de Rubricas'!E:G,3,0))</f>
        <v>0</v>
      </c>
      <c r="F47" s="189">
        <f>Simulador!E47</f>
        <v>0</v>
      </c>
      <c r="G47" s="117">
        <f>IF(F47=1,0,IF(OR($M$15="Admitido",$M$15="Efetivo/Ativo",$M$15="Estab.Constit"),IF(OR(C47=0,C47="",$D$15&gt;E47),0,IF(VLOOKUP(C47,'Relação de Rubricas'!E:J,5,0)="Sim",'Planilha de Calculo'!D47,0)),0))</f>
        <v>0</v>
      </c>
      <c r="H47" s="160">
        <f>IF(F47=1,0,IF(OR($M$15="Admitido",$M$15="Efetivo/Ativo",$M$15="Estab.Constit"),IF(OR(C47=0,C47="",$D$15&gt;E47),0,IF(VLOOKUP(C47,'Relação de Rubricas'!E:J,6,0)="Sim",'Planilha de Calculo'!D47,0)),0))</f>
        <v>0</v>
      </c>
      <c r="I47" s="117">
        <f>IF(F47=1,0,IF(OR($M$15="Efetivo/Inativo",$M$15="Pensionista"),IF(OR(C47=0,C47=""),0,IF(VLOOKUP(C47,'Relação de Rubricas'!E:L,7,0)="Sim",'Planilha de Calculo'!D47,0)),0))</f>
        <v>0</v>
      </c>
      <c r="J47" s="117">
        <f>IF(F47=1,0,IF(OR($M$15="Efetivo/Inativo",$M$15="Pensionista"),IF(OR(C47=0,C47=""),0,IF(VLOOKUP(C47,'Relação de Rubricas'!E:L,8,0)="Sim",'Planilha de Calculo'!D47,0)),0))</f>
        <v>0</v>
      </c>
      <c r="K47" s="120">
        <v>26</v>
      </c>
      <c r="L47" s="128">
        <f>Simulador!I47</f>
        <v>0</v>
      </c>
      <c r="M47" s="161">
        <f>Simulador!K47</f>
        <v>0</v>
      </c>
      <c r="N47" s="189">
        <f>Simulador!J47</f>
        <v>0</v>
      </c>
      <c r="O47" s="118">
        <f>IF(N47=1,0,IF(OR($M$15="Admitido",$M$15="Efetivo/Ativo",$M$15="Estab.Constit"),IF(OR(L47=0,L47=""),0,IF(AND(VLOOKUP(L47,'Relação de Rubricas'!E:J,5,0)="Sim",VLOOKUP(L47,'Relação de Rubricas'!E:J,2,0)="Desconto Facultativo"),'Planilha de Calculo'!M47,0)),0))</f>
        <v>0</v>
      </c>
      <c r="P47" s="160">
        <f>IF(N47=1,0,IF(OR($M$15="Admitido",$M$15="Efetivo/Ativo",$M$15="Estab.Constit"),IF(OR(L47=0,L47=""),0,IF(AND(VLOOKUP(L47,'Relação de Rubricas'!E:J,6,0)="Sim",VLOOKUP(L47,'Relação de Rubricas'!E:J,2,0)="Desconto Obrigatorio"),'Planilha de Calculo'!M47,0)),0))</f>
        <v>0</v>
      </c>
      <c r="Q47" s="117">
        <f>IF(N47=1,0,IF(OR($M$15="Efetivo/Inativo",$M$15="Pensionista"),IF(OR(L47=0,L47=""),0,IF(AND(VLOOKUP(L47,'Relação de Rubricas'!E:J,5,0)="Sim",VLOOKUP(L47,'Relação de Rubricas'!E:J,2,0)="Desconto Facultativo"),'Planilha de Calculo'!M47,0)),0))</f>
        <v>0</v>
      </c>
      <c r="R47" s="117">
        <f>IF(N47=1,0,IF(OR($M$15="Efetivo/Inativo",$M$15="Pensionista"),IF(OR(L47=0,L47=""),0,IF(AND(VLOOKUP(L47,'Relação de Rubricas'!E:J,6,0)="Sim",VLOOKUP(L47,'Relação de Rubricas'!E:J,2,0)="Desconto Obrigatorio"),'Planilha de Calculo'!M47,0)),0))</f>
        <v>0</v>
      </c>
      <c r="S47" s="78">
        <f>Simulador!L47</f>
        <v>0</v>
      </c>
      <c r="T47" s="88">
        <f t="shared" si="0"/>
        <v>0</v>
      </c>
    </row>
    <row r="48" spans="2:20" x14ac:dyDescent="0.2">
      <c r="B48" s="125">
        <v>27</v>
      </c>
      <c r="C48" s="77">
        <f>Simulador!D48</f>
        <v>0</v>
      </c>
      <c r="D48" s="79">
        <f>Simulador!F48</f>
        <v>0</v>
      </c>
      <c r="E48" s="78">
        <f>IF(OR(C48=0,C48=""),0,VLOOKUP(C48,'Relação de Rubricas'!E:G,3,0))</f>
        <v>0</v>
      </c>
      <c r="F48" s="189">
        <f>Simulador!E48</f>
        <v>0</v>
      </c>
      <c r="G48" s="117">
        <f>IF(F48=1,0,IF(OR($M$15="Admitido",$M$15="Efetivo/Ativo",$M$15="Estab.Constit"),IF(OR(C48=0,C48="",$D$15&gt;E48),0,IF(VLOOKUP(C48,'Relação de Rubricas'!E:J,5,0)="Sim",'Planilha de Calculo'!D48,0)),0))</f>
        <v>0</v>
      </c>
      <c r="H48" s="160">
        <f>IF(F48=1,0,IF(OR($M$15="Admitido",$M$15="Efetivo/Ativo",$M$15="Estab.Constit"),IF(OR(C48=0,C48="",$D$15&gt;E48),0,IF(VLOOKUP(C48,'Relação de Rubricas'!E:J,6,0)="Sim",'Planilha de Calculo'!D48,0)),0))</f>
        <v>0</v>
      </c>
      <c r="I48" s="117">
        <f>IF(F48=1,0,IF(OR($M$15="Efetivo/Inativo",$M$15="Pensionista"),IF(OR(C48=0,C48=""),0,IF(VLOOKUP(C48,'Relação de Rubricas'!E:L,7,0)="Sim",'Planilha de Calculo'!D48,0)),0))</f>
        <v>0</v>
      </c>
      <c r="J48" s="117">
        <f>IF(F48=1,0,IF(OR($M$15="Efetivo/Inativo",$M$15="Pensionista"),IF(OR(C48=0,C48=""),0,IF(VLOOKUP(C48,'Relação de Rubricas'!E:L,8,0)="Sim",'Planilha de Calculo'!D48,0)),0))</f>
        <v>0</v>
      </c>
      <c r="K48" s="120">
        <v>27</v>
      </c>
      <c r="L48" s="128">
        <f>Simulador!I48</f>
        <v>0</v>
      </c>
      <c r="M48" s="161">
        <f>Simulador!K48</f>
        <v>0</v>
      </c>
      <c r="N48" s="189">
        <f>Simulador!J48</f>
        <v>0</v>
      </c>
      <c r="O48" s="118">
        <f>IF(N48=1,0,IF(OR($M$15="Admitido",$M$15="Efetivo/Ativo",$M$15="Estab.Constit"),IF(OR(L48=0,L48=""),0,IF(AND(VLOOKUP(L48,'Relação de Rubricas'!E:J,5,0)="Sim",VLOOKUP(L48,'Relação de Rubricas'!E:J,2,0)="Desconto Facultativo"),'Planilha de Calculo'!M48,0)),0))</f>
        <v>0</v>
      </c>
      <c r="P48" s="160">
        <f>IF(N48=1,0,IF(OR($M$15="Admitido",$M$15="Efetivo/Ativo",$M$15="Estab.Constit"),IF(OR(L48=0,L48=""),0,IF(AND(VLOOKUP(L48,'Relação de Rubricas'!E:J,6,0)="Sim",VLOOKUP(L48,'Relação de Rubricas'!E:J,2,0)="Desconto Obrigatorio"),'Planilha de Calculo'!M48,0)),0))</f>
        <v>0</v>
      </c>
      <c r="Q48" s="117">
        <f>IF(N48=1,0,IF(OR($M$15="Efetivo/Inativo",$M$15="Pensionista"),IF(OR(L48=0,L48=""),0,IF(AND(VLOOKUP(L48,'Relação de Rubricas'!E:J,5,0)="Sim",VLOOKUP(L48,'Relação de Rubricas'!E:J,2,0)="Desconto Facultativo"),'Planilha de Calculo'!M48,0)),0))</f>
        <v>0</v>
      </c>
      <c r="R48" s="117">
        <f>IF(N48=1,0,IF(OR($M$15="Efetivo/Inativo",$M$15="Pensionista"),IF(OR(L48=0,L48=""),0,IF(AND(VLOOKUP(L48,'Relação de Rubricas'!E:J,6,0)="Sim",VLOOKUP(L48,'Relação de Rubricas'!E:J,2,0)="Desconto Obrigatorio"),'Planilha de Calculo'!M48,0)),0))</f>
        <v>0</v>
      </c>
      <c r="S48" s="78">
        <f>Simulador!L48</f>
        <v>0</v>
      </c>
      <c r="T48" s="88">
        <f t="shared" si="0"/>
        <v>0</v>
      </c>
    </row>
    <row r="49" spans="2:20" x14ac:dyDescent="0.2">
      <c r="B49" s="125">
        <v>28</v>
      </c>
      <c r="C49" s="77">
        <f>Simulador!D49</f>
        <v>0</v>
      </c>
      <c r="D49" s="79">
        <f>Simulador!F49</f>
        <v>0</v>
      </c>
      <c r="E49" s="78">
        <f>IF(OR(C49=0,C49=""),0,VLOOKUP(C49,'Relação de Rubricas'!E:G,3,0))</f>
        <v>0</v>
      </c>
      <c r="F49" s="189">
        <f>Simulador!E49</f>
        <v>0</v>
      </c>
      <c r="G49" s="117">
        <f>IF(F49=1,0,IF(OR($M$15="Admitido",$M$15="Efetivo/Ativo",$M$15="Estab.Constit"),IF(OR(C49=0,C49="",$D$15&gt;E49),0,IF(VLOOKUP(C49,'Relação de Rubricas'!E:J,5,0)="Sim",'Planilha de Calculo'!D49,0)),0))</f>
        <v>0</v>
      </c>
      <c r="H49" s="160">
        <f>IF(F49=1,0,IF(OR($M$15="Admitido",$M$15="Efetivo/Ativo",$M$15="Estab.Constit"),IF(OR(C49=0,C49="",$D$15&gt;E49),0,IF(VLOOKUP(C49,'Relação de Rubricas'!E:J,6,0)="Sim",'Planilha de Calculo'!D49,0)),0))</f>
        <v>0</v>
      </c>
      <c r="I49" s="117">
        <f>IF(F49=1,0,IF(OR($M$15="Efetivo/Inativo",$M$15="Pensionista"),IF(OR(C49=0,C49=""),0,IF(VLOOKUP(C49,'Relação de Rubricas'!E:L,7,0)="Sim",'Planilha de Calculo'!D49,0)),0))</f>
        <v>0</v>
      </c>
      <c r="J49" s="117">
        <f>IF(F49=1,0,IF(OR($M$15="Efetivo/Inativo",$M$15="Pensionista"),IF(OR(C49=0,C49=""),0,IF(VLOOKUP(C49,'Relação de Rubricas'!E:L,8,0)="Sim",'Planilha de Calculo'!D49,0)),0))</f>
        <v>0</v>
      </c>
      <c r="K49" s="120">
        <v>28</v>
      </c>
      <c r="L49" s="128">
        <f>Simulador!I49</f>
        <v>0</v>
      </c>
      <c r="M49" s="161">
        <f>Simulador!K49</f>
        <v>0</v>
      </c>
      <c r="N49" s="189">
        <f>Simulador!J49</f>
        <v>0</v>
      </c>
      <c r="O49" s="118">
        <f>IF(N49=1,0,IF(OR($M$15="Admitido",$M$15="Efetivo/Ativo",$M$15="Estab.Constit"),IF(OR(L49=0,L49=""),0,IF(AND(VLOOKUP(L49,'Relação de Rubricas'!E:J,5,0)="Sim",VLOOKUP(L49,'Relação de Rubricas'!E:J,2,0)="Desconto Facultativo"),'Planilha de Calculo'!M49,0)),0))</f>
        <v>0</v>
      </c>
      <c r="P49" s="160">
        <f>IF(N49=1,0,IF(OR($M$15="Admitido",$M$15="Efetivo/Ativo",$M$15="Estab.Constit"),IF(OR(L49=0,L49=""),0,IF(AND(VLOOKUP(L49,'Relação de Rubricas'!E:J,6,0)="Sim",VLOOKUP(L49,'Relação de Rubricas'!E:J,2,0)="Desconto Obrigatorio"),'Planilha de Calculo'!M49,0)),0))</f>
        <v>0</v>
      </c>
      <c r="Q49" s="117">
        <f>IF(N49=1,0,IF(OR($M$15="Efetivo/Inativo",$M$15="Pensionista"),IF(OR(L49=0,L49=""),0,IF(AND(VLOOKUP(L49,'Relação de Rubricas'!E:J,5,0)="Sim",VLOOKUP(L49,'Relação de Rubricas'!E:J,2,0)="Desconto Facultativo"),'Planilha de Calculo'!M49,0)),0))</f>
        <v>0</v>
      </c>
      <c r="R49" s="117">
        <f>IF(N49=1,0,IF(OR($M$15="Efetivo/Inativo",$M$15="Pensionista"),IF(OR(L49=0,L49=""),0,IF(AND(VLOOKUP(L49,'Relação de Rubricas'!E:J,6,0)="Sim",VLOOKUP(L49,'Relação de Rubricas'!E:J,2,0)="Desconto Obrigatorio"),'Planilha de Calculo'!M49,0)),0))</f>
        <v>0</v>
      </c>
      <c r="S49" s="78">
        <f>Simulador!L49</f>
        <v>0</v>
      </c>
      <c r="T49" s="88">
        <f t="shared" si="0"/>
        <v>0</v>
      </c>
    </row>
    <row r="50" spans="2:20" x14ac:dyDescent="0.2">
      <c r="B50" s="125">
        <v>29</v>
      </c>
      <c r="C50" s="77">
        <f>Simulador!D50</f>
        <v>0</v>
      </c>
      <c r="D50" s="79">
        <f>Simulador!F50</f>
        <v>0</v>
      </c>
      <c r="E50" s="78">
        <f>IF(OR(C50=0,C50=""),0,VLOOKUP(C50,'Relação de Rubricas'!E:G,3,0))</f>
        <v>0</v>
      </c>
      <c r="F50" s="189">
        <f>Simulador!E50</f>
        <v>0</v>
      </c>
      <c r="G50" s="117">
        <f>IF(F50=1,0,IF(OR($M$15="Admitido",$M$15="Efetivo/Ativo",$M$15="Estab.Constit"),IF(OR(C50=0,C50="",$D$15&gt;E50),0,IF(VLOOKUP(C50,'Relação de Rubricas'!E:J,5,0)="Sim",'Planilha de Calculo'!D50,0)),0))</f>
        <v>0</v>
      </c>
      <c r="H50" s="160">
        <f>IF(F50=1,0,IF(OR($M$15="Admitido",$M$15="Efetivo/Ativo",$M$15="Estab.Constit"),IF(OR(C50=0,C50="",$D$15&gt;E50),0,IF(VLOOKUP(C50,'Relação de Rubricas'!E:J,6,0)="Sim",'Planilha de Calculo'!D50,0)),0))</f>
        <v>0</v>
      </c>
      <c r="I50" s="117">
        <f>IF(F50=1,0,IF(OR($M$15="Efetivo/Inativo",$M$15="Pensionista"),IF(OR(C50=0,C50=""),0,IF(VLOOKUP(C50,'Relação de Rubricas'!E:L,7,0)="Sim",'Planilha de Calculo'!D50,0)),0))</f>
        <v>0</v>
      </c>
      <c r="J50" s="117">
        <f>IF(F50=1,0,IF(OR($M$15="Efetivo/Inativo",$M$15="Pensionista"),IF(OR(C50=0,C50=""),0,IF(VLOOKUP(C50,'Relação de Rubricas'!E:L,8,0)="Sim",'Planilha de Calculo'!D50,0)),0))</f>
        <v>0</v>
      </c>
      <c r="K50" s="120">
        <v>29</v>
      </c>
      <c r="L50" s="128">
        <f>Simulador!I50</f>
        <v>0</v>
      </c>
      <c r="M50" s="161">
        <f>Simulador!K50</f>
        <v>0</v>
      </c>
      <c r="N50" s="189">
        <f>Simulador!J50</f>
        <v>0</v>
      </c>
      <c r="O50" s="118">
        <f>IF(N50=1,0,IF(OR($M$15="Admitido",$M$15="Efetivo/Ativo",$M$15="Estab.Constit"),IF(OR(L50=0,L50=""),0,IF(AND(VLOOKUP(L50,'Relação de Rubricas'!E:J,5,0)="Sim",VLOOKUP(L50,'Relação de Rubricas'!E:J,2,0)="Desconto Facultativo"),'Planilha de Calculo'!M50,0)),0))</f>
        <v>0</v>
      </c>
      <c r="P50" s="160">
        <f>IF(N50=1,0,IF(OR($M$15="Admitido",$M$15="Efetivo/Ativo",$M$15="Estab.Constit"),IF(OR(L50=0,L50=""),0,IF(AND(VLOOKUP(L50,'Relação de Rubricas'!E:J,6,0)="Sim",VLOOKUP(L50,'Relação de Rubricas'!E:J,2,0)="Desconto Obrigatorio"),'Planilha de Calculo'!M50,0)),0))</f>
        <v>0</v>
      </c>
      <c r="Q50" s="117">
        <f>IF(N50=1,0,IF(OR($M$15="Efetivo/Inativo",$M$15="Pensionista"),IF(OR(L50=0,L50=""),0,IF(AND(VLOOKUP(L50,'Relação de Rubricas'!E:J,5,0)="Sim",VLOOKUP(L50,'Relação de Rubricas'!E:J,2,0)="Desconto Facultativo"),'Planilha de Calculo'!M50,0)),0))</f>
        <v>0</v>
      </c>
      <c r="R50" s="117">
        <f>IF(N50=1,0,IF(OR($M$15="Efetivo/Inativo",$M$15="Pensionista"),IF(OR(L50=0,L50=""),0,IF(AND(VLOOKUP(L50,'Relação de Rubricas'!E:J,6,0)="Sim",VLOOKUP(L50,'Relação de Rubricas'!E:J,2,0)="Desconto Obrigatorio"),'Planilha de Calculo'!M50,0)),0))</f>
        <v>0</v>
      </c>
      <c r="S50" s="78">
        <f>Simulador!L50</f>
        <v>0</v>
      </c>
      <c r="T50" s="88">
        <f t="shared" si="0"/>
        <v>0</v>
      </c>
    </row>
    <row r="51" spans="2:20" x14ac:dyDescent="0.2">
      <c r="B51" s="125">
        <v>30</v>
      </c>
      <c r="C51" s="77">
        <f>Simulador!D51</f>
        <v>0</v>
      </c>
      <c r="D51" s="79">
        <f>Simulador!F51</f>
        <v>0</v>
      </c>
      <c r="E51" s="78">
        <f>IF(OR(C51=0,C51=""),0,VLOOKUP(C51,'Relação de Rubricas'!E:G,3,0))</f>
        <v>0</v>
      </c>
      <c r="F51" s="189">
        <f>Simulador!E51</f>
        <v>0</v>
      </c>
      <c r="G51" s="117">
        <f>IF(F51=1,0,IF(OR($M$15="Admitido",$M$15="Efetivo/Ativo",$M$15="Estab.Constit"),IF(OR(C51=0,C51="",$D$15&gt;E51),0,IF(VLOOKUP(C51,'Relação de Rubricas'!E:J,5,0)="Sim",'Planilha de Calculo'!D51,0)),0))</f>
        <v>0</v>
      </c>
      <c r="H51" s="160">
        <f>IF(F51=1,0,IF(OR($M$15="Admitido",$M$15="Efetivo/Ativo",$M$15="Estab.Constit"),IF(OR(C51=0,C51="",$D$15&gt;E51),0,IF(VLOOKUP(C51,'Relação de Rubricas'!E:J,6,0)="Sim",'Planilha de Calculo'!D51,0)),0))</f>
        <v>0</v>
      </c>
      <c r="I51" s="117">
        <f>IF(F51=1,0,IF(OR($M$15="Efetivo/Inativo",$M$15="Pensionista"),IF(OR(C51=0,C51=""),0,IF(VLOOKUP(C51,'Relação de Rubricas'!E:L,7,0)="Sim",'Planilha de Calculo'!D51,0)),0))</f>
        <v>0</v>
      </c>
      <c r="J51" s="117">
        <f>IF(F51=1,0,IF(OR($M$15="Efetivo/Inativo",$M$15="Pensionista"),IF(OR(C51=0,C51=""),0,IF(VLOOKUP(C51,'Relação de Rubricas'!E:L,8,0)="Sim",'Planilha de Calculo'!D51,0)),0))</f>
        <v>0</v>
      </c>
      <c r="K51" s="120">
        <v>30</v>
      </c>
      <c r="L51" s="128">
        <f>Simulador!I51</f>
        <v>0</v>
      </c>
      <c r="M51" s="161">
        <f>Simulador!K51</f>
        <v>0</v>
      </c>
      <c r="N51" s="189">
        <f>Simulador!J51</f>
        <v>0</v>
      </c>
      <c r="O51" s="118">
        <f>IF(N51=1,0,IF(OR($M$15="Admitido",$M$15="Efetivo/Ativo",$M$15="Estab.Constit"),IF(OR(L51=0,L51=""),0,IF(AND(VLOOKUP(L51,'Relação de Rubricas'!E:J,5,0)="Sim",VLOOKUP(L51,'Relação de Rubricas'!E:J,2,0)="Desconto Facultativo"),'Planilha de Calculo'!M51,0)),0))</f>
        <v>0</v>
      </c>
      <c r="P51" s="160">
        <f>IF(N51=1,0,IF(OR($M$15="Admitido",$M$15="Efetivo/Ativo",$M$15="Estab.Constit"),IF(OR(L51=0,L51=""),0,IF(AND(VLOOKUP(L51,'Relação de Rubricas'!E:J,6,0)="Sim",VLOOKUP(L51,'Relação de Rubricas'!E:J,2,0)="Desconto Obrigatorio"),'Planilha de Calculo'!M51,0)),0))</f>
        <v>0</v>
      </c>
      <c r="Q51" s="117">
        <f>IF(N51=1,0,IF(OR($M$15="Efetivo/Inativo",$M$15="Pensionista"),IF(OR(L51=0,L51=""),0,IF(AND(VLOOKUP(L51,'Relação de Rubricas'!E:J,5,0)="Sim",VLOOKUP(L51,'Relação de Rubricas'!E:J,2,0)="Desconto Facultativo"),'Planilha de Calculo'!M51,0)),0))</f>
        <v>0</v>
      </c>
      <c r="R51" s="117">
        <f>IF(N51=1,0,IF(OR($M$15="Efetivo/Inativo",$M$15="Pensionista"),IF(OR(L51=0,L51=""),0,IF(AND(VLOOKUP(L51,'Relação de Rubricas'!E:J,6,0)="Sim",VLOOKUP(L51,'Relação de Rubricas'!E:J,2,0)="Desconto Obrigatorio"),'Planilha de Calculo'!M51,0)),0))</f>
        <v>0</v>
      </c>
      <c r="S51" s="78">
        <f>Simulador!L51</f>
        <v>0</v>
      </c>
      <c r="T51" s="88">
        <f t="shared" si="0"/>
        <v>0</v>
      </c>
    </row>
    <row r="52" spans="2:20" x14ac:dyDescent="0.2">
      <c r="B52" s="125">
        <v>31</v>
      </c>
      <c r="C52" s="77">
        <f>Simulador!D52</f>
        <v>0</v>
      </c>
      <c r="D52" s="79">
        <f>Simulador!F52</f>
        <v>0</v>
      </c>
      <c r="E52" s="78">
        <f>IF(OR(C52=0,C52=""),0,VLOOKUP(C52,'Relação de Rubricas'!E:G,3,0))</f>
        <v>0</v>
      </c>
      <c r="F52" s="189">
        <f>Simulador!E52</f>
        <v>0</v>
      </c>
      <c r="G52" s="117">
        <f>IF(F52=1,0,IF(OR($M$15="Admitido",$M$15="Efetivo/Ativo",$M$15="Estab.Constit"),IF(OR(C52=0,C52="",$D$15&gt;E52),0,IF(VLOOKUP(C52,'Relação de Rubricas'!E:J,5,0)="Sim",'Planilha de Calculo'!D52,0)),0))</f>
        <v>0</v>
      </c>
      <c r="H52" s="160">
        <f>IF(F52=1,0,IF(OR($M$15="Admitido",$M$15="Efetivo/Ativo",$M$15="Estab.Constit"),IF(OR(C52=0,C52="",$D$15&gt;E52),0,IF(VLOOKUP(C52,'Relação de Rubricas'!E:J,6,0)="Sim",'Planilha de Calculo'!D52,0)),0))</f>
        <v>0</v>
      </c>
      <c r="I52" s="117">
        <f>IF(F52=1,0,IF(OR($M$15="Efetivo/Inativo",$M$15="Pensionista"),IF(OR(C52=0,C52=""),0,IF(VLOOKUP(C52,'Relação de Rubricas'!E:L,7,0)="Sim",'Planilha de Calculo'!D52,0)),0))</f>
        <v>0</v>
      </c>
      <c r="J52" s="117">
        <f>IF(F52=1,0,IF(OR($M$15="Efetivo/Inativo",$M$15="Pensionista"),IF(OR(C52=0,C52=""),0,IF(VLOOKUP(C52,'Relação de Rubricas'!E:L,8,0)="Sim",'Planilha de Calculo'!D52,0)),0))</f>
        <v>0</v>
      </c>
      <c r="K52" s="120">
        <v>31</v>
      </c>
      <c r="L52" s="128">
        <f>Simulador!I52</f>
        <v>0</v>
      </c>
      <c r="M52" s="161">
        <f>Simulador!K52</f>
        <v>0</v>
      </c>
      <c r="N52" s="189">
        <f>Simulador!J52</f>
        <v>0</v>
      </c>
      <c r="O52" s="118">
        <f>IF(N52=1,0,IF(OR($M$15="Admitido",$M$15="Efetivo/Ativo",$M$15="Estab.Constit"),IF(OR(L52=0,L52=""),0,IF(AND(VLOOKUP(L52,'Relação de Rubricas'!E:J,5,0)="Sim",VLOOKUP(L52,'Relação de Rubricas'!E:J,2,0)="Desconto Facultativo"),'Planilha de Calculo'!M52,0)),0))</f>
        <v>0</v>
      </c>
      <c r="P52" s="160">
        <f>IF(N52=1,0,IF(OR($M$15="Admitido",$M$15="Efetivo/Ativo",$M$15="Estab.Constit"),IF(OR(L52=0,L52=""),0,IF(AND(VLOOKUP(L52,'Relação de Rubricas'!E:J,6,0)="Sim",VLOOKUP(L52,'Relação de Rubricas'!E:J,2,0)="Desconto Obrigatorio"),'Planilha de Calculo'!M52,0)),0))</f>
        <v>0</v>
      </c>
      <c r="Q52" s="117">
        <f>IF(N52=1,0,IF(OR($M$15="Efetivo/Inativo",$M$15="Pensionista"),IF(OR(L52=0,L52=""),0,IF(AND(VLOOKUP(L52,'Relação de Rubricas'!E:J,5,0)="Sim",VLOOKUP(L52,'Relação de Rubricas'!E:J,2,0)="Desconto Facultativo"),'Planilha de Calculo'!M52,0)),0))</f>
        <v>0</v>
      </c>
      <c r="R52" s="117">
        <f>IF(N52=1,0,IF(OR($M$15="Efetivo/Inativo",$M$15="Pensionista"),IF(OR(L52=0,L52=""),0,IF(AND(VLOOKUP(L52,'Relação de Rubricas'!E:J,6,0)="Sim",VLOOKUP(L52,'Relação de Rubricas'!E:J,2,0)="Desconto Obrigatorio"),'Planilha de Calculo'!M52,0)),0))</f>
        <v>0</v>
      </c>
      <c r="S52" s="78">
        <f>Simulador!L52</f>
        <v>0</v>
      </c>
      <c r="T52" s="88">
        <f t="shared" si="0"/>
        <v>0</v>
      </c>
    </row>
    <row r="53" spans="2:20" x14ac:dyDescent="0.2">
      <c r="B53" s="125">
        <v>32</v>
      </c>
      <c r="C53" s="77">
        <f>Simulador!D53</f>
        <v>0</v>
      </c>
      <c r="D53" s="79">
        <f>Simulador!F53</f>
        <v>0</v>
      </c>
      <c r="E53" s="78">
        <f>IF(OR(C53=0,C53=""),0,VLOOKUP(C53,'Relação de Rubricas'!E:G,3,0))</f>
        <v>0</v>
      </c>
      <c r="F53" s="189">
        <f>Simulador!E53</f>
        <v>0</v>
      </c>
      <c r="G53" s="117">
        <f>IF(F53=1,0,IF(OR($M$15="Admitido",$M$15="Efetivo/Ativo",$M$15="Estab.Constit"),IF(OR(C53=0,C53="",$D$15&gt;E53),0,IF(VLOOKUP(C53,'Relação de Rubricas'!E:J,5,0)="Sim",'Planilha de Calculo'!D53,0)),0))</f>
        <v>0</v>
      </c>
      <c r="H53" s="160">
        <f>IF(F53=1,0,IF(OR($M$15="Admitido",$M$15="Efetivo/Ativo",$M$15="Estab.Constit"),IF(OR(C53=0,C53="",$D$15&gt;E53),0,IF(VLOOKUP(C53,'Relação de Rubricas'!E:J,6,0)="Sim",'Planilha de Calculo'!D53,0)),0))</f>
        <v>0</v>
      </c>
      <c r="I53" s="117">
        <f>IF(F53=1,0,IF(OR($M$15="Efetivo/Inativo",$M$15="Pensionista"),IF(OR(C53=0,C53=""),0,IF(VLOOKUP(C53,'Relação de Rubricas'!E:L,7,0)="Sim",'Planilha de Calculo'!D53,0)),0))</f>
        <v>0</v>
      </c>
      <c r="J53" s="117">
        <f>IF(F53=1,0,IF(OR($M$15="Efetivo/Inativo",$M$15="Pensionista"),IF(OR(C53=0,C53=""),0,IF(VLOOKUP(C53,'Relação de Rubricas'!E:L,8,0)="Sim",'Planilha de Calculo'!D53,0)),0))</f>
        <v>0</v>
      </c>
      <c r="K53" s="120">
        <v>32</v>
      </c>
      <c r="L53" s="128">
        <f>Simulador!I53</f>
        <v>0</v>
      </c>
      <c r="M53" s="161">
        <f>Simulador!K53</f>
        <v>0</v>
      </c>
      <c r="N53" s="189">
        <f>Simulador!J53</f>
        <v>0</v>
      </c>
      <c r="O53" s="118">
        <f>IF(N53=1,0,IF(OR($M$15="Admitido",$M$15="Efetivo/Ativo",$M$15="Estab.Constit"),IF(OR(L53=0,L53=""),0,IF(AND(VLOOKUP(L53,'Relação de Rubricas'!E:J,5,0)="Sim",VLOOKUP(L53,'Relação de Rubricas'!E:J,2,0)="Desconto Facultativo"),'Planilha de Calculo'!M53,0)),0))</f>
        <v>0</v>
      </c>
      <c r="P53" s="160">
        <f>IF(N53=1,0,IF(OR($M$15="Admitido",$M$15="Efetivo/Ativo",$M$15="Estab.Constit"),IF(OR(L53=0,L53=""),0,IF(AND(VLOOKUP(L53,'Relação de Rubricas'!E:J,6,0)="Sim",VLOOKUP(L53,'Relação de Rubricas'!E:J,2,0)="Desconto Obrigatorio"),'Planilha de Calculo'!M53,0)),0))</f>
        <v>0</v>
      </c>
      <c r="Q53" s="117">
        <f>IF(N53=1,0,IF(OR($M$15="Efetivo/Inativo",$M$15="Pensionista"),IF(OR(L53=0,L53=""),0,IF(AND(VLOOKUP(L53,'Relação de Rubricas'!E:J,5,0)="Sim",VLOOKUP(L53,'Relação de Rubricas'!E:J,2,0)="Desconto Facultativo"),'Planilha de Calculo'!M53,0)),0))</f>
        <v>0</v>
      </c>
      <c r="R53" s="117">
        <f>IF(N53=1,0,IF(OR($M$15="Efetivo/Inativo",$M$15="Pensionista"),IF(OR(L53=0,L53=""),0,IF(AND(VLOOKUP(L53,'Relação de Rubricas'!E:J,6,0)="Sim",VLOOKUP(L53,'Relação de Rubricas'!E:J,2,0)="Desconto Obrigatorio"),'Planilha de Calculo'!M53,0)),0))</f>
        <v>0</v>
      </c>
      <c r="S53" s="78">
        <f>Simulador!L53</f>
        <v>0</v>
      </c>
      <c r="T53" s="88">
        <f t="shared" si="0"/>
        <v>0</v>
      </c>
    </row>
    <row r="54" spans="2:20" x14ac:dyDescent="0.2">
      <c r="B54" s="125">
        <v>33</v>
      </c>
      <c r="C54" s="77">
        <f>Simulador!D54</f>
        <v>0</v>
      </c>
      <c r="D54" s="79">
        <f>Simulador!F54</f>
        <v>0</v>
      </c>
      <c r="E54" s="78">
        <f>IF(OR(C54=0,C54=""),0,VLOOKUP(C54,'Relação de Rubricas'!E:G,3,0))</f>
        <v>0</v>
      </c>
      <c r="F54" s="189">
        <f>Simulador!E54</f>
        <v>0</v>
      </c>
      <c r="G54" s="117">
        <f>IF(F54=1,0,IF(OR($M$15="Admitido",$M$15="Efetivo/Ativo",$M$15="Estab.Constit"),IF(OR(C54=0,C54="",$D$15&gt;E54),0,IF(VLOOKUP(C54,'Relação de Rubricas'!E:J,5,0)="Sim",'Planilha de Calculo'!D54,0)),0))</f>
        <v>0</v>
      </c>
      <c r="H54" s="160">
        <f>IF(F54=1,0,IF(OR($M$15="Admitido",$M$15="Efetivo/Ativo",$M$15="Estab.Constit"),IF(OR(C54=0,C54="",$D$15&gt;E54),0,IF(VLOOKUP(C54,'Relação de Rubricas'!E:J,6,0)="Sim",'Planilha de Calculo'!D54,0)),0))</f>
        <v>0</v>
      </c>
      <c r="I54" s="117">
        <f>IF(F54=1,0,IF(OR($M$15="Efetivo/Inativo",$M$15="Pensionista"),IF(OR(C54=0,C54=""),0,IF(VLOOKUP(C54,'Relação de Rubricas'!E:L,7,0)="Sim",'Planilha de Calculo'!D54,0)),0))</f>
        <v>0</v>
      </c>
      <c r="J54" s="117">
        <f>IF(F54=1,0,IF(OR($M$15="Efetivo/Inativo",$M$15="Pensionista"),IF(OR(C54=0,C54=""),0,IF(VLOOKUP(C54,'Relação de Rubricas'!E:L,8,0)="Sim",'Planilha de Calculo'!D54,0)),0))</f>
        <v>0</v>
      </c>
      <c r="K54" s="120">
        <v>33</v>
      </c>
      <c r="L54" s="128">
        <f>Simulador!I54</f>
        <v>0</v>
      </c>
      <c r="M54" s="161">
        <f>Simulador!K54</f>
        <v>0</v>
      </c>
      <c r="N54" s="189">
        <f>Simulador!J54</f>
        <v>0</v>
      </c>
      <c r="O54" s="118">
        <f>IF(N54=1,0,IF(OR($M$15="Admitido",$M$15="Efetivo/Ativo",$M$15="Estab.Constit"),IF(OR(L54=0,L54=""),0,IF(AND(VLOOKUP(L54,'Relação de Rubricas'!E:J,5,0)="Sim",VLOOKUP(L54,'Relação de Rubricas'!E:J,2,0)="Desconto Facultativo"),'Planilha de Calculo'!M54,0)),0))</f>
        <v>0</v>
      </c>
      <c r="P54" s="160">
        <f>IF(N54=1,0,IF(OR($M$15="Admitido",$M$15="Efetivo/Ativo",$M$15="Estab.Constit"),IF(OR(L54=0,L54=""),0,IF(AND(VLOOKUP(L54,'Relação de Rubricas'!E:J,6,0)="Sim",VLOOKUP(L54,'Relação de Rubricas'!E:J,2,0)="Desconto Obrigatorio"),'Planilha de Calculo'!M54,0)),0))</f>
        <v>0</v>
      </c>
      <c r="Q54" s="117">
        <f>IF(N54=1,0,IF(OR($M$15="Efetivo/Inativo",$M$15="Pensionista"),IF(OR(L54=0,L54=""),0,IF(AND(VLOOKUP(L54,'Relação de Rubricas'!E:J,5,0)="Sim",VLOOKUP(L54,'Relação de Rubricas'!E:J,2,0)="Desconto Facultativo"),'Planilha de Calculo'!M54,0)),0))</f>
        <v>0</v>
      </c>
      <c r="R54" s="117">
        <f>IF(N54=1,0,IF(OR($M$15="Efetivo/Inativo",$M$15="Pensionista"),IF(OR(L54=0,L54=""),0,IF(AND(VLOOKUP(L54,'Relação de Rubricas'!E:J,6,0)="Sim",VLOOKUP(L54,'Relação de Rubricas'!E:J,2,0)="Desconto Obrigatorio"),'Planilha de Calculo'!M54,0)),0))</f>
        <v>0</v>
      </c>
      <c r="S54" s="78">
        <f>Simulador!L54</f>
        <v>0</v>
      </c>
      <c r="T54" s="88">
        <f t="shared" si="0"/>
        <v>0</v>
      </c>
    </row>
    <row r="55" spans="2:20" x14ac:dyDescent="0.2">
      <c r="B55" s="125">
        <v>34</v>
      </c>
      <c r="C55" s="77">
        <f>Simulador!D55</f>
        <v>0</v>
      </c>
      <c r="D55" s="79">
        <f>Simulador!F55</f>
        <v>0</v>
      </c>
      <c r="E55" s="78">
        <f>IF(OR(C55=0,C55=""),0,VLOOKUP(C55,'Relação de Rubricas'!E:G,3,0))</f>
        <v>0</v>
      </c>
      <c r="F55" s="189">
        <f>Simulador!E55</f>
        <v>0</v>
      </c>
      <c r="G55" s="117">
        <f>IF(F55=1,0,IF(OR($M$15="Admitido",$M$15="Efetivo/Ativo",$M$15="Estab.Constit"),IF(OR(C55=0,C55="",$D$15&gt;E55),0,IF(VLOOKUP(C55,'Relação de Rubricas'!E:J,5,0)="Sim",'Planilha de Calculo'!D55,0)),0))</f>
        <v>0</v>
      </c>
      <c r="H55" s="160">
        <f>IF(F55=1,0,IF(OR($M$15="Admitido",$M$15="Efetivo/Ativo",$M$15="Estab.Constit"),IF(OR(C55=0,C55="",$D$15&gt;E55),0,IF(VLOOKUP(C55,'Relação de Rubricas'!E:J,6,0)="Sim",'Planilha de Calculo'!D55,0)),0))</f>
        <v>0</v>
      </c>
      <c r="I55" s="117">
        <f>IF(F55=1,0,IF(OR($M$15="Efetivo/Inativo",$M$15="Pensionista"),IF(OR(C55=0,C55=""),0,IF(VLOOKUP(C55,'Relação de Rubricas'!E:L,7,0)="Sim",'Planilha de Calculo'!D55,0)),0))</f>
        <v>0</v>
      </c>
      <c r="J55" s="117">
        <f>IF(F55=1,0,IF(OR($M$15="Efetivo/Inativo",$M$15="Pensionista"),IF(OR(C55=0,C55=""),0,IF(VLOOKUP(C55,'Relação de Rubricas'!E:L,8,0)="Sim",'Planilha de Calculo'!D55,0)),0))</f>
        <v>0</v>
      </c>
      <c r="K55" s="120">
        <v>34</v>
      </c>
      <c r="L55" s="128">
        <f>Simulador!I55</f>
        <v>0</v>
      </c>
      <c r="M55" s="161">
        <f>Simulador!K55</f>
        <v>0</v>
      </c>
      <c r="N55" s="189">
        <f>Simulador!J55</f>
        <v>0</v>
      </c>
      <c r="O55" s="118">
        <f>IF(N55=1,0,IF(OR($M$15="Admitido",$M$15="Efetivo/Ativo",$M$15="Estab.Constit"),IF(OR(L55=0,L55=""),0,IF(AND(VLOOKUP(L55,'Relação de Rubricas'!E:J,5,0)="Sim",VLOOKUP(L55,'Relação de Rubricas'!E:J,2,0)="Desconto Facultativo"),'Planilha de Calculo'!M55,0)),0))</f>
        <v>0</v>
      </c>
      <c r="P55" s="160">
        <f>IF(N55=1,0,IF(OR($M$15="Admitido",$M$15="Efetivo/Ativo",$M$15="Estab.Constit"),IF(OR(L55=0,L55=""),0,IF(AND(VLOOKUP(L55,'Relação de Rubricas'!E:J,6,0)="Sim",VLOOKUP(L55,'Relação de Rubricas'!E:J,2,0)="Desconto Obrigatorio"),'Planilha de Calculo'!M55,0)),0))</f>
        <v>0</v>
      </c>
      <c r="Q55" s="117">
        <f>IF(N55=1,0,IF(OR($M$15="Efetivo/Inativo",$M$15="Pensionista"),IF(OR(L55=0,L55=""),0,IF(AND(VLOOKUP(L55,'Relação de Rubricas'!E:J,5,0)="Sim",VLOOKUP(L55,'Relação de Rubricas'!E:J,2,0)="Desconto Facultativo"),'Planilha de Calculo'!M55,0)),0))</f>
        <v>0</v>
      </c>
      <c r="R55" s="117">
        <f>IF(N55=1,0,IF(OR($M$15="Efetivo/Inativo",$M$15="Pensionista"),IF(OR(L55=0,L55=""),0,IF(AND(VLOOKUP(L55,'Relação de Rubricas'!E:J,6,0)="Sim",VLOOKUP(L55,'Relação de Rubricas'!E:J,2,0)="Desconto Obrigatorio"),'Planilha de Calculo'!M55,0)),0))</f>
        <v>0</v>
      </c>
      <c r="S55" s="78">
        <f>Simulador!L55</f>
        <v>0</v>
      </c>
      <c r="T55" s="88">
        <f t="shared" si="0"/>
        <v>0</v>
      </c>
    </row>
    <row r="56" spans="2:20" x14ac:dyDescent="0.2">
      <c r="B56" s="125">
        <v>35</v>
      </c>
      <c r="C56" s="77">
        <f>Simulador!D56</f>
        <v>0</v>
      </c>
      <c r="D56" s="79">
        <f>Simulador!F56</f>
        <v>0</v>
      </c>
      <c r="E56" s="78">
        <f>IF(OR(C56=0,C56=""),0,VLOOKUP(C56,'Relação de Rubricas'!E:G,3,0))</f>
        <v>0</v>
      </c>
      <c r="F56" s="189">
        <f>Simulador!E56</f>
        <v>0</v>
      </c>
      <c r="G56" s="117">
        <f>IF(F56=1,0,IF(OR($M$15="Admitido",$M$15="Efetivo/Ativo",$M$15="Estab.Constit"),IF(OR(C56=0,C56="",$D$15&gt;E56),0,IF(VLOOKUP(C56,'Relação de Rubricas'!E:J,5,0)="Sim",'Planilha de Calculo'!D56,0)),0))</f>
        <v>0</v>
      </c>
      <c r="H56" s="160">
        <f>IF(F56=1,0,IF(OR($M$15="Admitido",$M$15="Efetivo/Ativo",$M$15="Estab.Constit"),IF(OR(C56=0,C56="",$D$15&gt;E56),0,IF(VLOOKUP(C56,'Relação de Rubricas'!E:J,6,0)="Sim",'Planilha de Calculo'!D56,0)),0))</f>
        <v>0</v>
      </c>
      <c r="I56" s="117">
        <f>IF(F56=1,0,IF(OR($M$15="Efetivo/Inativo",$M$15="Pensionista"),IF(OR(C56=0,C56=""),0,IF(VLOOKUP(C56,'Relação de Rubricas'!E:L,7,0)="Sim",'Planilha de Calculo'!D56,0)),0))</f>
        <v>0</v>
      </c>
      <c r="J56" s="117">
        <f>IF(F56=1,0,IF(OR($M$15="Efetivo/Inativo",$M$15="Pensionista"),IF(OR(C56=0,C56=""),0,IF(VLOOKUP(C56,'Relação de Rubricas'!E:L,8,0)="Sim",'Planilha de Calculo'!D56,0)),0))</f>
        <v>0</v>
      </c>
      <c r="K56" s="120">
        <v>35</v>
      </c>
      <c r="L56" s="128">
        <f>Simulador!I56</f>
        <v>0</v>
      </c>
      <c r="M56" s="161">
        <f>Simulador!K56</f>
        <v>0</v>
      </c>
      <c r="N56" s="189">
        <f>Simulador!J56</f>
        <v>0</v>
      </c>
      <c r="O56" s="118">
        <f>IF(N56=1,0,IF(OR($M$15="Admitido",$M$15="Efetivo/Ativo",$M$15="Estab.Constit"),IF(OR(L56=0,L56=""),0,IF(AND(VLOOKUP(L56,'Relação de Rubricas'!E:J,5,0)="Sim",VLOOKUP(L56,'Relação de Rubricas'!E:J,2,0)="Desconto Facultativo"),'Planilha de Calculo'!M56,0)),0))</f>
        <v>0</v>
      </c>
      <c r="P56" s="160">
        <f>IF(N56=1,0,IF(OR($M$15="Admitido",$M$15="Efetivo/Ativo",$M$15="Estab.Constit"),IF(OR(L56=0,L56=""),0,IF(AND(VLOOKUP(L56,'Relação de Rubricas'!E:J,6,0)="Sim",VLOOKUP(L56,'Relação de Rubricas'!E:J,2,0)="Desconto Obrigatorio"),'Planilha de Calculo'!M56,0)),0))</f>
        <v>0</v>
      </c>
      <c r="Q56" s="117">
        <f>IF(N56=1,0,IF(OR($M$15="Efetivo/Inativo",$M$15="Pensionista"),IF(OR(L56=0,L56=""),0,IF(AND(VLOOKUP(L56,'Relação de Rubricas'!E:J,5,0)="Sim",VLOOKUP(L56,'Relação de Rubricas'!E:J,2,0)="Desconto Facultativo"),'Planilha de Calculo'!M56,0)),0))</f>
        <v>0</v>
      </c>
      <c r="R56" s="117">
        <f>IF(N56=1,0,IF(OR($M$15="Efetivo/Inativo",$M$15="Pensionista"),IF(OR(L56=0,L56=""),0,IF(AND(VLOOKUP(L56,'Relação de Rubricas'!E:J,6,0)="Sim",VLOOKUP(L56,'Relação de Rubricas'!E:J,2,0)="Desconto Obrigatorio"),'Planilha de Calculo'!M56,0)),0))</f>
        <v>0</v>
      </c>
      <c r="S56" s="78">
        <f>Simulador!L56</f>
        <v>0</v>
      </c>
      <c r="T56" s="88">
        <f t="shared" si="0"/>
        <v>0</v>
      </c>
    </row>
    <row r="57" spans="2:20" x14ac:dyDescent="0.2">
      <c r="B57" s="125">
        <v>36</v>
      </c>
      <c r="C57" s="77">
        <f>Simulador!D57</f>
        <v>0</v>
      </c>
      <c r="D57" s="79">
        <f>Simulador!F57</f>
        <v>0</v>
      </c>
      <c r="E57" s="78">
        <f>IF(OR(C57=0,C57=""),0,VLOOKUP(C57,'Relação de Rubricas'!E:G,3,0))</f>
        <v>0</v>
      </c>
      <c r="F57" s="189">
        <f>Simulador!E57</f>
        <v>0</v>
      </c>
      <c r="G57" s="117">
        <f>IF(F57=1,0,IF(OR($M$15="Admitido",$M$15="Efetivo/Ativo",$M$15="Estab.Constit"),IF(OR(C57=0,C57="",$D$15&gt;E57),0,IF(VLOOKUP(C57,'Relação de Rubricas'!E:J,5,0)="Sim",'Planilha de Calculo'!D57,0)),0))</f>
        <v>0</v>
      </c>
      <c r="H57" s="160">
        <f>IF(F57=1,0,IF(OR($M$15="Admitido",$M$15="Efetivo/Ativo",$M$15="Estab.Constit"),IF(OR(C57=0,C57="",$D$15&gt;E57),0,IF(VLOOKUP(C57,'Relação de Rubricas'!E:J,6,0)="Sim",'Planilha de Calculo'!D57,0)),0))</f>
        <v>0</v>
      </c>
      <c r="I57" s="117">
        <f>IF(F57=1,0,IF(OR($M$15="Efetivo/Inativo",$M$15="Pensionista"),IF(OR(C57=0,C57=""),0,IF(VLOOKUP(C57,'Relação de Rubricas'!E:L,7,0)="Sim",'Planilha de Calculo'!D57,0)),0))</f>
        <v>0</v>
      </c>
      <c r="J57" s="117">
        <f>IF(F57=1,0,IF(OR($M$15="Efetivo/Inativo",$M$15="Pensionista"),IF(OR(C57=0,C57=""),0,IF(VLOOKUP(C57,'Relação de Rubricas'!E:L,8,0)="Sim",'Planilha de Calculo'!D57,0)),0))</f>
        <v>0</v>
      </c>
      <c r="K57" s="120">
        <v>36</v>
      </c>
      <c r="L57" s="128">
        <f>Simulador!I57</f>
        <v>0</v>
      </c>
      <c r="M57" s="161">
        <f>Simulador!K57</f>
        <v>0</v>
      </c>
      <c r="N57" s="189">
        <f>Simulador!J57</f>
        <v>0</v>
      </c>
      <c r="O57" s="118">
        <f>IF(N57=1,0,IF(OR($M$15="Admitido",$M$15="Efetivo/Ativo",$M$15="Estab.Constit"),IF(OR(L57=0,L57=""),0,IF(AND(VLOOKUP(L57,'Relação de Rubricas'!E:J,5,0)="Sim",VLOOKUP(L57,'Relação de Rubricas'!E:J,2,0)="Desconto Facultativo"),'Planilha de Calculo'!M57,0)),0))</f>
        <v>0</v>
      </c>
      <c r="P57" s="160">
        <f>IF(N57=1,0,IF(OR($M$15="Admitido",$M$15="Efetivo/Ativo",$M$15="Estab.Constit"),IF(OR(L57=0,L57=""),0,IF(AND(VLOOKUP(L57,'Relação de Rubricas'!E:J,6,0)="Sim",VLOOKUP(L57,'Relação de Rubricas'!E:J,2,0)="Desconto Obrigatorio"),'Planilha de Calculo'!M57,0)),0))</f>
        <v>0</v>
      </c>
      <c r="Q57" s="117">
        <f>IF(N57=1,0,IF(OR($M$15="Efetivo/Inativo",$M$15="Pensionista"),IF(OR(L57=0,L57=""),0,IF(AND(VLOOKUP(L57,'Relação de Rubricas'!E:J,5,0)="Sim",VLOOKUP(L57,'Relação de Rubricas'!E:J,2,0)="Desconto Facultativo"),'Planilha de Calculo'!M57,0)),0))</f>
        <v>0</v>
      </c>
      <c r="R57" s="117">
        <f>IF(N57=1,0,IF(OR($M$15="Efetivo/Inativo",$M$15="Pensionista"),IF(OR(L57=0,L57=""),0,IF(AND(VLOOKUP(L57,'Relação de Rubricas'!E:J,6,0)="Sim",VLOOKUP(L57,'Relação de Rubricas'!E:J,2,0)="Desconto Obrigatorio"),'Planilha de Calculo'!M57,0)),0))</f>
        <v>0</v>
      </c>
      <c r="S57" s="78">
        <f>Simulador!L57</f>
        <v>0</v>
      </c>
      <c r="T57" s="88">
        <f t="shared" si="0"/>
        <v>0</v>
      </c>
    </row>
    <row r="58" spans="2:20" x14ac:dyDescent="0.2">
      <c r="B58" s="125">
        <v>37</v>
      </c>
      <c r="C58" s="77">
        <f>Simulador!D58</f>
        <v>0</v>
      </c>
      <c r="D58" s="79">
        <f>Simulador!F58</f>
        <v>0</v>
      </c>
      <c r="E58" s="78">
        <f>IF(OR(C58=0,C58=""),0,VLOOKUP(C58,'Relação de Rubricas'!E:G,3,0))</f>
        <v>0</v>
      </c>
      <c r="F58" s="189">
        <f>Simulador!E58</f>
        <v>0</v>
      </c>
      <c r="G58" s="117">
        <f>IF(F58=1,0,IF(OR($M$15="Admitido",$M$15="Efetivo/Ativo",$M$15="Estab.Constit"),IF(OR(C58=0,C58="",$D$15&gt;E58),0,IF(VLOOKUP(C58,'Relação de Rubricas'!E:J,5,0)="Sim",'Planilha de Calculo'!D58,0)),0))</f>
        <v>0</v>
      </c>
      <c r="H58" s="160">
        <f>IF(F58=1,0,IF(OR($M$15="Admitido",$M$15="Efetivo/Ativo",$M$15="Estab.Constit"),IF(OR(C58=0,C58="",$D$15&gt;E58),0,IF(VLOOKUP(C58,'Relação de Rubricas'!E:J,6,0)="Sim",'Planilha de Calculo'!D58,0)),0))</f>
        <v>0</v>
      </c>
      <c r="I58" s="117">
        <f>IF(F58=1,0,IF(OR($M$15="Efetivo/Inativo",$M$15="Pensionista"),IF(OR(C58=0,C58=""),0,IF(VLOOKUP(C58,'Relação de Rubricas'!E:L,7,0)="Sim",'Planilha de Calculo'!D58,0)),0))</f>
        <v>0</v>
      </c>
      <c r="J58" s="117">
        <f>IF(F58=1,0,IF(OR($M$15="Efetivo/Inativo",$M$15="Pensionista"),IF(OR(C58=0,C58=""),0,IF(VLOOKUP(C58,'Relação de Rubricas'!E:L,8,0)="Sim",'Planilha de Calculo'!D58,0)),0))</f>
        <v>0</v>
      </c>
      <c r="K58" s="120">
        <v>37</v>
      </c>
      <c r="L58" s="128">
        <f>Simulador!I58</f>
        <v>0</v>
      </c>
      <c r="M58" s="161">
        <f>Simulador!K58</f>
        <v>0</v>
      </c>
      <c r="N58" s="189">
        <f>Simulador!J58</f>
        <v>0</v>
      </c>
      <c r="O58" s="118">
        <f>IF(N58=1,0,IF(OR($M$15="Admitido",$M$15="Efetivo/Ativo",$M$15="Estab.Constit"),IF(OR(L58=0,L58=""),0,IF(AND(VLOOKUP(L58,'Relação de Rubricas'!E:J,5,0)="Sim",VLOOKUP(L58,'Relação de Rubricas'!E:J,2,0)="Desconto Facultativo"),'Planilha de Calculo'!M58,0)),0))</f>
        <v>0</v>
      </c>
      <c r="P58" s="160">
        <f>IF(N58=1,0,IF(OR($M$15="Admitido",$M$15="Efetivo/Ativo",$M$15="Estab.Constit"),IF(OR(L58=0,L58=""),0,IF(AND(VLOOKUP(L58,'Relação de Rubricas'!E:J,6,0)="Sim",VLOOKUP(L58,'Relação de Rubricas'!E:J,2,0)="Desconto Obrigatorio"),'Planilha de Calculo'!M58,0)),0))</f>
        <v>0</v>
      </c>
      <c r="Q58" s="117">
        <f>IF(N58=1,0,IF(OR($M$15="Efetivo/Inativo",$M$15="Pensionista"),IF(OR(L58=0,L58=""),0,IF(AND(VLOOKUP(L58,'Relação de Rubricas'!E:J,5,0)="Sim",VLOOKUP(L58,'Relação de Rubricas'!E:J,2,0)="Desconto Facultativo"),'Planilha de Calculo'!M58,0)),0))</f>
        <v>0</v>
      </c>
      <c r="R58" s="117">
        <f>IF(N58=1,0,IF(OR($M$15="Efetivo/Inativo",$M$15="Pensionista"),IF(OR(L58=0,L58=""),0,IF(AND(VLOOKUP(L58,'Relação de Rubricas'!E:J,6,0)="Sim",VLOOKUP(L58,'Relação de Rubricas'!E:J,2,0)="Desconto Obrigatorio"),'Planilha de Calculo'!M58,0)),0))</f>
        <v>0</v>
      </c>
      <c r="S58" s="78">
        <f>Simulador!L58</f>
        <v>0</v>
      </c>
      <c r="T58" s="88">
        <f t="shared" si="0"/>
        <v>0</v>
      </c>
    </row>
    <row r="59" spans="2:20" x14ac:dyDescent="0.2">
      <c r="B59" s="125">
        <v>38</v>
      </c>
      <c r="C59" s="77">
        <f>Simulador!D59</f>
        <v>0</v>
      </c>
      <c r="D59" s="79">
        <f>Simulador!F59</f>
        <v>0</v>
      </c>
      <c r="E59" s="78">
        <f>IF(OR(C59=0,C59=""),0,VLOOKUP(C59,'Relação de Rubricas'!E:G,3,0))</f>
        <v>0</v>
      </c>
      <c r="F59" s="189">
        <f>Simulador!E59</f>
        <v>0</v>
      </c>
      <c r="G59" s="117">
        <f>IF(F59=1,0,IF(OR($M$15="Admitido",$M$15="Efetivo/Ativo",$M$15="Estab.Constit"),IF(OR(C59=0,C59="",$D$15&gt;E59),0,IF(VLOOKUP(C59,'Relação de Rubricas'!E:J,5,0)="Sim",'Planilha de Calculo'!D59,0)),0))</f>
        <v>0</v>
      </c>
      <c r="H59" s="160">
        <f>IF(F59=1,0,IF(OR($M$15="Admitido",$M$15="Efetivo/Ativo",$M$15="Estab.Constit"),IF(OR(C59=0,C59="",$D$15&gt;E59),0,IF(VLOOKUP(C59,'Relação de Rubricas'!E:J,6,0)="Sim",'Planilha de Calculo'!D59,0)),0))</f>
        <v>0</v>
      </c>
      <c r="I59" s="117">
        <f>IF(F59=1,0,IF(OR($M$15="Efetivo/Inativo",$M$15="Pensionista"),IF(OR(C59=0,C59=""),0,IF(VLOOKUP(C59,'Relação de Rubricas'!E:L,7,0)="Sim",'Planilha de Calculo'!D59,0)),0))</f>
        <v>0</v>
      </c>
      <c r="J59" s="117">
        <f>IF(F59=1,0,IF(OR($M$15="Efetivo/Inativo",$M$15="Pensionista"),IF(OR(C59=0,C59=""),0,IF(VLOOKUP(C59,'Relação de Rubricas'!E:L,8,0)="Sim",'Planilha de Calculo'!D59,0)),0))</f>
        <v>0</v>
      </c>
      <c r="K59" s="120">
        <v>38</v>
      </c>
      <c r="L59" s="128">
        <f>Simulador!I59</f>
        <v>0</v>
      </c>
      <c r="M59" s="161">
        <f>Simulador!K59</f>
        <v>0</v>
      </c>
      <c r="N59" s="189">
        <f>Simulador!J59</f>
        <v>0</v>
      </c>
      <c r="O59" s="118">
        <f>IF(N59=1,0,IF(OR($M$15="Admitido",$M$15="Efetivo/Ativo",$M$15="Estab.Constit"),IF(OR(L59=0,L59=""),0,IF(AND(VLOOKUP(L59,'Relação de Rubricas'!E:J,5,0)="Sim",VLOOKUP(L59,'Relação de Rubricas'!E:J,2,0)="Desconto Facultativo"),'Planilha de Calculo'!M59,0)),0))</f>
        <v>0</v>
      </c>
      <c r="P59" s="160">
        <f>IF(N59=1,0,IF(OR($M$15="Admitido",$M$15="Efetivo/Ativo",$M$15="Estab.Constit"),IF(OR(L59=0,L59=""),0,IF(AND(VLOOKUP(L59,'Relação de Rubricas'!E:J,6,0)="Sim",VLOOKUP(L59,'Relação de Rubricas'!E:J,2,0)="Desconto Obrigatorio"),'Planilha de Calculo'!M59,0)),0))</f>
        <v>0</v>
      </c>
      <c r="Q59" s="117">
        <f>IF(N59=1,0,IF(OR($M$15="Efetivo/Inativo",$M$15="Pensionista"),IF(OR(L59=0,L59=""),0,IF(AND(VLOOKUP(L59,'Relação de Rubricas'!E:J,5,0)="Sim",VLOOKUP(L59,'Relação de Rubricas'!E:J,2,0)="Desconto Facultativo"),'Planilha de Calculo'!M59,0)),0))</f>
        <v>0</v>
      </c>
      <c r="R59" s="117">
        <f>IF(N59=1,0,IF(OR($M$15="Efetivo/Inativo",$M$15="Pensionista"),IF(OR(L59=0,L59=""),0,IF(AND(VLOOKUP(L59,'Relação de Rubricas'!E:J,6,0)="Sim",VLOOKUP(L59,'Relação de Rubricas'!E:J,2,0)="Desconto Obrigatorio"),'Planilha de Calculo'!M59,0)),0))</f>
        <v>0</v>
      </c>
      <c r="S59" s="78">
        <f>Simulador!L59</f>
        <v>0</v>
      </c>
      <c r="T59" s="88">
        <f t="shared" si="0"/>
        <v>0</v>
      </c>
    </row>
    <row r="60" spans="2:20" x14ac:dyDescent="0.2">
      <c r="B60" s="125">
        <v>39</v>
      </c>
      <c r="C60" s="77">
        <f>Simulador!D60</f>
        <v>0</v>
      </c>
      <c r="D60" s="79">
        <f>Simulador!F60</f>
        <v>0</v>
      </c>
      <c r="E60" s="78">
        <f>IF(OR(C60=0,C60=""),0,VLOOKUP(C60,'Relação de Rubricas'!E:G,3,0))</f>
        <v>0</v>
      </c>
      <c r="F60" s="189">
        <f>Simulador!E60</f>
        <v>0</v>
      </c>
      <c r="G60" s="117">
        <f>IF(F60=1,0,IF(OR($M$15="Admitido",$M$15="Efetivo/Ativo",$M$15="Estab.Constit"),IF(OR(C60=0,C60="",$D$15&gt;E60),0,IF(VLOOKUP(C60,'Relação de Rubricas'!E:J,5,0)="Sim",'Planilha de Calculo'!D60,0)),0))</f>
        <v>0</v>
      </c>
      <c r="H60" s="160">
        <f>IF(F60=1,0,IF(OR($M$15="Admitido",$M$15="Efetivo/Ativo",$M$15="Estab.Constit"),IF(OR(C60=0,C60="",$D$15&gt;E60),0,IF(VLOOKUP(C60,'Relação de Rubricas'!E:J,6,0)="Sim",'Planilha de Calculo'!D60,0)),0))</f>
        <v>0</v>
      </c>
      <c r="I60" s="117">
        <f>IF(F60=1,0,IF(OR($M$15="Efetivo/Inativo",$M$15="Pensionista"),IF(OR(C60=0,C60=""),0,IF(VLOOKUP(C60,'Relação de Rubricas'!E:L,7,0)="Sim",'Planilha de Calculo'!D60,0)),0))</f>
        <v>0</v>
      </c>
      <c r="J60" s="117">
        <f>IF(F60=1,0,IF(OR($M$15="Efetivo/Inativo",$M$15="Pensionista"),IF(OR(C60=0,C60=""),0,IF(VLOOKUP(C60,'Relação de Rubricas'!E:L,8,0)="Sim",'Planilha de Calculo'!D60,0)),0))</f>
        <v>0</v>
      </c>
      <c r="K60" s="120">
        <v>39</v>
      </c>
      <c r="L60" s="128">
        <f>Simulador!I60</f>
        <v>0</v>
      </c>
      <c r="M60" s="161">
        <f>Simulador!K60</f>
        <v>0</v>
      </c>
      <c r="N60" s="189">
        <f>Simulador!J60</f>
        <v>0</v>
      </c>
      <c r="O60" s="118">
        <f>IF(N60=1,0,IF(OR($M$15="Admitido",$M$15="Efetivo/Ativo",$M$15="Estab.Constit"),IF(OR(L60=0,L60=""),0,IF(AND(VLOOKUP(L60,'Relação de Rubricas'!E:J,5,0)="Sim",VLOOKUP(L60,'Relação de Rubricas'!E:J,2,0)="Desconto Facultativo"),'Planilha de Calculo'!M60,0)),0))</f>
        <v>0</v>
      </c>
      <c r="P60" s="160">
        <f>IF(N60=1,0,IF(OR($M$15="Admitido",$M$15="Efetivo/Ativo",$M$15="Estab.Constit"),IF(OR(L60=0,L60=""),0,IF(AND(VLOOKUP(L60,'Relação de Rubricas'!E:J,6,0)="Sim",VLOOKUP(L60,'Relação de Rubricas'!E:J,2,0)="Desconto Obrigatorio"),'Planilha de Calculo'!M60,0)),0))</f>
        <v>0</v>
      </c>
      <c r="Q60" s="117">
        <f>IF(N60=1,0,IF(OR($M$15="Efetivo/Inativo",$M$15="Pensionista"),IF(OR(L60=0,L60=""),0,IF(AND(VLOOKUP(L60,'Relação de Rubricas'!E:J,5,0)="Sim",VLOOKUP(L60,'Relação de Rubricas'!E:J,2,0)="Desconto Facultativo"),'Planilha de Calculo'!M60,0)),0))</f>
        <v>0</v>
      </c>
      <c r="R60" s="117">
        <f>IF(N60=1,0,IF(OR($M$15="Efetivo/Inativo",$M$15="Pensionista"),IF(OR(L60=0,L60=""),0,IF(AND(VLOOKUP(L60,'Relação de Rubricas'!E:J,6,0)="Sim",VLOOKUP(L60,'Relação de Rubricas'!E:J,2,0)="Desconto Obrigatorio"),'Planilha de Calculo'!M60,0)),0))</f>
        <v>0</v>
      </c>
      <c r="S60" s="78">
        <f>Simulador!L60</f>
        <v>0</v>
      </c>
      <c r="T60" s="88">
        <f t="shared" si="0"/>
        <v>0</v>
      </c>
    </row>
    <row r="61" spans="2:20" x14ac:dyDescent="0.2">
      <c r="B61" s="126">
        <v>40</v>
      </c>
      <c r="C61" s="89">
        <f>Simulador!D61</f>
        <v>0</v>
      </c>
      <c r="D61" s="90">
        <f>Simulador!F61</f>
        <v>0</v>
      </c>
      <c r="E61" s="91">
        <f>IF(OR(C61=0,C61=""),0,VLOOKUP(C61,'Relação de Rubricas'!E:G,3,0))</f>
        <v>0</v>
      </c>
      <c r="F61" s="190">
        <f>Simulador!E61</f>
        <v>0</v>
      </c>
      <c r="G61" s="117">
        <f>IF(F61=1,0,IF(OR($M$15="Admitido",$M$15="Efetivo/Ativo",$M$15="Estab.Constit"),IF(OR(C61=0,C61="",$D$15&gt;E61),0,IF(VLOOKUP(C61,'Relação de Rubricas'!E:J,5,0)="Sim",'Planilha de Calculo'!D61,0)),0))</f>
        <v>0</v>
      </c>
      <c r="H61" s="160">
        <f>IF(F61=1,0,IF(OR($M$15="Admitido",$M$15="Efetivo/Ativo",$M$15="Estab.Constit"),IF(OR(C61=0,C61="",$D$15&gt;E61),0,IF(VLOOKUP(C61,'Relação de Rubricas'!E:J,6,0)="Sim",'Planilha de Calculo'!D61,0)),0))</f>
        <v>0</v>
      </c>
      <c r="I61" s="117">
        <f>IF(F61=1,0,IF(OR($M$15="Efetivo/Inativo",$M$15="Pensionista"),IF(OR(C61=0,C61=""),0,IF(VLOOKUP(C61,'Relação de Rubricas'!E:L,7,0)="Sim",'Planilha de Calculo'!D61,0)),0))</f>
        <v>0</v>
      </c>
      <c r="J61" s="117">
        <f>IF(F61=1,0,IF(OR($M$15="Efetivo/Inativo",$M$15="Pensionista"),IF(OR(C61=0,C61=""),0,IF(VLOOKUP(C61,'Relação de Rubricas'!E:L,8,0)="Sim",'Planilha de Calculo'!D61,0)),0))</f>
        <v>0</v>
      </c>
      <c r="K61" s="121">
        <v>40</v>
      </c>
      <c r="L61" s="129">
        <f>Simulador!I61</f>
        <v>0</v>
      </c>
      <c r="M61" s="162">
        <f>Simulador!K61</f>
        <v>0</v>
      </c>
      <c r="N61" s="190">
        <f>Simulador!J61</f>
        <v>0</v>
      </c>
      <c r="O61" s="118">
        <f>IF(N61=1,0,IF(OR($M$15="Admitido",$M$15="Efetivo/Ativo",$M$15="Estab.Constit"),IF(OR(L61=0,L61=""),0,IF(AND(VLOOKUP(L61,'Relação de Rubricas'!E:J,5,0)="Sim",VLOOKUP(L61,'Relação de Rubricas'!E:J,2,0)="Desconto Facultativo"),'Planilha de Calculo'!M61,0)),0))</f>
        <v>0</v>
      </c>
      <c r="P61" s="160">
        <f>IF(N61=1,0,IF(OR($M$15="Admitido",$M$15="Efetivo/Ativo",$M$15="Estab.Constit"),IF(OR(L61=0,L61=""),0,IF(AND(VLOOKUP(L61,'Relação de Rubricas'!E:J,6,0)="Sim",VLOOKUP(L61,'Relação de Rubricas'!E:J,2,0)="Desconto Obrigatorio"),'Planilha de Calculo'!M61,0)),0))</f>
        <v>0</v>
      </c>
      <c r="Q61" s="117">
        <f>IF(N61=1,0,IF(OR($M$15="Efetivo/Inativo",$M$15="Pensionista"),IF(OR(L61=0,L61=""),0,IF(AND(VLOOKUP(L61,'Relação de Rubricas'!E:J,5,0)="Sim",VLOOKUP(L61,'Relação de Rubricas'!E:J,2,0)="Desconto Facultativo"),'Planilha de Calculo'!M61,0)),0))</f>
        <v>0</v>
      </c>
      <c r="R61" s="117">
        <f>IF(N61=1,0,IF(OR($M$15="Efetivo/Inativo",$M$15="Pensionista"),IF(OR(L61=0,L61=""),0,IF(AND(VLOOKUP(L61,'Relação de Rubricas'!E:J,6,0)="Sim",VLOOKUP(L61,'Relação de Rubricas'!E:J,2,0)="Desconto Obrigatorio"),'Planilha de Calculo'!M61,0)),0))</f>
        <v>0</v>
      </c>
      <c r="S61" s="91">
        <f>Simulador!L61</f>
        <v>0</v>
      </c>
      <c r="T61" s="179">
        <f t="shared" si="0"/>
        <v>0</v>
      </c>
    </row>
    <row r="62" spans="2:20" ht="3.95" customHeight="1" x14ac:dyDescent="0.2"/>
    <row r="63" spans="2:20" x14ac:dyDescent="0.2"/>
  </sheetData>
  <sheetProtection algorithmName="SHA-512" hashValue="kEU4tdHLrpH9nNBKYjGNwtbGNMdLbQD4C6kZ3POoRJ8D6grF7kTldCCssV+fWgs1p6FGzuVv7Aojgb4AP5XmDg==" saltValue="u2Ltopx5wRwq6rzMnXdP/A==" spinCount="100000" sheet="1" selectLockedCells="1"/>
  <mergeCells count="18">
    <mergeCell ref="B2:T2"/>
    <mergeCell ref="G19:H19"/>
    <mergeCell ref="O19:P19"/>
    <mergeCell ref="C4:D4"/>
    <mergeCell ref="B17:T17"/>
    <mergeCell ref="L18:T18"/>
    <mergeCell ref="C18:H18"/>
    <mergeCell ref="C19:C20"/>
    <mergeCell ref="L7:M7"/>
    <mergeCell ref="I19:J19"/>
    <mergeCell ref="Q19:R19"/>
    <mergeCell ref="D19:D20"/>
    <mergeCell ref="C9:D9"/>
    <mergeCell ref="E19:E20"/>
    <mergeCell ref="E9:H12"/>
    <mergeCell ref="L19:L20"/>
    <mergeCell ref="M19:M20"/>
    <mergeCell ref="S19:T19"/>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G154"/>
  <sheetViews>
    <sheetView showGridLines="0" workbookViewId="0">
      <selection activeCell="B1" sqref="B1"/>
    </sheetView>
  </sheetViews>
  <sheetFormatPr defaultColWidth="0" defaultRowHeight="15" x14ac:dyDescent="0.25"/>
  <cols>
    <col min="1" max="1" width="7" customWidth="1"/>
    <col min="2" max="2" width="44.85546875" customWidth="1"/>
    <col min="3" max="3" width="50" customWidth="1"/>
    <col min="4" max="4" width="1.5703125" style="1" customWidth="1"/>
    <col min="5" max="5" width="41" bestFit="1" customWidth="1"/>
    <col min="6" max="6" width="42.28515625" bestFit="1" customWidth="1"/>
    <col min="7" max="7" width="3.5703125" customWidth="1"/>
    <col min="8" max="16384" width="9.140625" hidden="1"/>
  </cols>
  <sheetData>
    <row r="1" spans="2:6" ht="14.25" customHeight="1" x14ac:dyDescent="0.25">
      <c r="B1" s="139" t="s">
        <v>16</v>
      </c>
      <c r="C1" s="139" t="s">
        <v>35</v>
      </c>
      <c r="D1" s="144"/>
      <c r="E1" s="139" t="s">
        <v>16</v>
      </c>
      <c r="F1" s="139" t="s">
        <v>35</v>
      </c>
    </row>
    <row r="2" spans="2:6" x14ac:dyDescent="0.25">
      <c r="B2" s="138" t="s">
        <v>66</v>
      </c>
      <c r="C2" s="138" t="s">
        <v>267</v>
      </c>
      <c r="D2" s="145"/>
      <c r="E2" s="146" t="str">
        <f>IF(B2="","",IF(Simulador!$E$10="","",B2))</f>
        <v>1/3 - DEDIC.EXCL.C/BEN.INCORP.</v>
      </c>
      <c r="F2" s="146" t="str">
        <f>IF(C2="","",IF(Simulador!$E$10="","",C2))</f>
        <v>1/3 FERIAS</v>
      </c>
    </row>
    <row r="3" spans="2:6" x14ac:dyDescent="0.25">
      <c r="B3" s="138" t="s">
        <v>267</v>
      </c>
      <c r="C3" s="138" t="s">
        <v>262</v>
      </c>
      <c r="D3" s="145"/>
      <c r="E3" s="146" t="str">
        <f>IF(B3="","",IF(Simulador!$E$10="","",B3))</f>
        <v>1/3 FERIAS</v>
      </c>
      <c r="F3" s="146" t="str">
        <f>IF(C3="","",IF(Simulador!$E$10="","",C3))</f>
        <v>APROFEM-SIND PROF FUNC ENS MUN</v>
      </c>
    </row>
    <row r="4" spans="2:6" x14ac:dyDescent="0.25">
      <c r="B4" s="138" t="s">
        <v>143</v>
      </c>
      <c r="C4" s="138" t="s">
        <v>285</v>
      </c>
      <c r="D4" s="145"/>
      <c r="E4" s="146" t="str">
        <f>IF(B4="","",IF(Simulador!$E$10="","",B4))</f>
        <v>2/3 PROCURADORES</v>
      </c>
      <c r="F4" s="146" t="str">
        <f>IF(C4="","",IF(Simulador!$E$10="","",C4))</f>
        <v>ASSOC SERVIDORES MUNICIPAIS</v>
      </c>
    </row>
    <row r="5" spans="2:6" x14ac:dyDescent="0.25">
      <c r="B5" s="138" t="s">
        <v>156</v>
      </c>
      <c r="C5" s="138" t="s">
        <v>222</v>
      </c>
      <c r="D5" s="145"/>
      <c r="E5" s="146" t="str">
        <f>IF(B5="","",IF(Simulador!$E$10="","",B5))</f>
        <v>6ª PARTE - PROCURADOR</v>
      </c>
      <c r="F5" s="146" t="str">
        <f>IF(C5="","",IF(Simulador!$E$10="","",C5))</f>
        <v>ATUALIZ MONET - DEBITO</v>
      </c>
    </row>
    <row r="6" spans="2:6" x14ac:dyDescent="0.25">
      <c r="B6" s="138" t="s">
        <v>59</v>
      </c>
      <c r="C6" s="138" t="s">
        <v>218</v>
      </c>
      <c r="D6" s="145"/>
      <c r="E6" s="146" t="str">
        <f>IF(B6="","",IF(Simulador!$E$10="","",B6))</f>
        <v>6A PARTE S/ADICIONAL - ACAO JUDICIAL</v>
      </c>
      <c r="F6" s="146" t="str">
        <f>IF(C6="","",IF(Simulador!$E$10="","",C6))</f>
        <v>ATUALIZ MONET - DEC 31131/92</v>
      </c>
    </row>
    <row r="7" spans="2:6" x14ac:dyDescent="0.25">
      <c r="B7" s="138" t="s">
        <v>58</v>
      </c>
      <c r="C7" s="138" t="s">
        <v>220</v>
      </c>
      <c r="D7" s="145"/>
      <c r="E7" s="146" t="str">
        <f>IF(B7="","",IF(Simulador!$E$10="","",B7))</f>
        <v>6A PARTE S/VCT INCORP - ACAO JUDICIAL</v>
      </c>
      <c r="F7" s="146" t="str">
        <f>IF(C7="","",IF(Simulador!$E$10="","",C7))</f>
        <v>AUXILIO REFEICAO</v>
      </c>
    </row>
    <row r="8" spans="2:6" x14ac:dyDescent="0.25">
      <c r="B8" s="138" t="s">
        <v>126</v>
      </c>
      <c r="C8" s="138" t="s">
        <v>258</v>
      </c>
      <c r="D8" s="145"/>
      <c r="E8" s="146" t="str">
        <f>IF(B8="","",IF(Simulador!$E$10="","",B8))</f>
        <v>6A. PARTE SOBRE ADICIONAL - ACAO JUDICIAL</v>
      </c>
      <c r="F8" s="146" t="str">
        <f>IF(C8="","",IF(Simulador!$E$10="","",C8))</f>
        <v>BANCO BMG</v>
      </c>
    </row>
    <row r="9" spans="2:6" x14ac:dyDescent="0.25">
      <c r="B9" s="138" t="s">
        <v>75</v>
      </c>
      <c r="C9" s="138" t="s">
        <v>259</v>
      </c>
      <c r="D9" s="145"/>
      <c r="E9" s="146" t="str">
        <f>IF(B9="","",IF(Simulador!$E$10="","",B9))</f>
        <v>ABONO</v>
      </c>
      <c r="F9" s="146" t="str">
        <f>IF(C9="","",IF(Simulador!$E$10="","",C9))</f>
        <v>BANCO DAYCOVAL</v>
      </c>
    </row>
    <row r="10" spans="2:6" x14ac:dyDescent="0.25">
      <c r="B10" s="138" t="s">
        <v>177</v>
      </c>
      <c r="C10" s="138" t="s">
        <v>231</v>
      </c>
      <c r="D10" s="145"/>
      <c r="E10" s="146" t="str">
        <f>IF(B10="","",IF(Simulador!$E$10="","",B10))</f>
        <v>ABONO DE COMPATIBILIZACAO - LEI 15.682/2013</v>
      </c>
      <c r="F10" s="146" t="str">
        <f>IF(C10="","",IF(Simulador!$E$10="","",C10))</f>
        <v>BANCO PAN</v>
      </c>
    </row>
    <row r="11" spans="2:6" x14ac:dyDescent="0.25">
      <c r="B11" s="138" t="s">
        <v>277</v>
      </c>
      <c r="C11" s="138" t="s">
        <v>283</v>
      </c>
      <c r="D11" s="145"/>
      <c r="E11" s="146" t="str">
        <f>IF(B11="","",IF(Simulador!$E$10="","",B11))</f>
        <v>ABONO DE PERMANENCIA</v>
      </c>
      <c r="F11" s="146" t="str">
        <f>IF(C11="","",IF(Simulador!$E$10="","",C11))</f>
        <v>BANCO SAFRA</v>
      </c>
    </row>
    <row r="12" spans="2:6" x14ac:dyDescent="0.25">
      <c r="B12" s="138" t="s">
        <v>284</v>
      </c>
      <c r="C12" s="138" t="s">
        <v>215</v>
      </c>
      <c r="D12" s="145"/>
      <c r="E12" s="146" t="str">
        <f>IF(B12="","",IF(Simulador!$E$10="","",B12))</f>
        <v>ABONO LEI 17.224/19</v>
      </c>
      <c r="F12" s="146" t="str">
        <f>IF(C12="","",IF(Simulador!$E$10="","",C12))</f>
        <v>BANCO SANTANDER</v>
      </c>
    </row>
    <row r="13" spans="2:6" x14ac:dyDescent="0.25">
      <c r="B13" s="138" t="s">
        <v>172</v>
      </c>
      <c r="C13" s="138" t="s">
        <v>232</v>
      </c>
      <c r="D13" s="145"/>
      <c r="E13" s="146" t="str">
        <f>IF(B13="","",IF(Simulador!$E$10="","",B13))</f>
        <v>ABONO SUPLEMENTAR</v>
      </c>
      <c r="F13" s="146" t="str">
        <f>IF(C13="","",IF(Simulador!$E$10="","",C13))</f>
        <v>CAIXA ECONOMICA FEDERAL</v>
      </c>
    </row>
    <row r="14" spans="2:6" x14ac:dyDescent="0.25">
      <c r="B14" s="138" t="s">
        <v>179</v>
      </c>
      <c r="C14" s="138" t="s">
        <v>213</v>
      </c>
      <c r="D14" s="145"/>
      <c r="E14" s="146" t="str">
        <f>IF(B14="","",IF(Simulador!$E$10="","",B14))</f>
        <v>ABONO SUPLEMENTAR GCM LEI 16.080/2014</v>
      </c>
      <c r="F14" s="146" t="str">
        <f>IF(C14="","",IF(Simulador!$E$10="","",C14))</f>
        <v>CCB BRASIL</v>
      </c>
    </row>
    <row r="15" spans="2:6" x14ac:dyDescent="0.25">
      <c r="B15" s="138" t="s">
        <v>175</v>
      </c>
      <c r="C15" s="138" t="s">
        <v>281</v>
      </c>
      <c r="D15" s="145"/>
      <c r="E15" s="146" t="str">
        <f>IF(B15="","",IF(Simulador!$E$10="","",B15))</f>
        <v>ACAO JUDICIAL QUINQUENIO</v>
      </c>
      <c r="F15" s="146" t="str">
        <f>IF(C15="","",IF(Simulador!$E$10="","",C15))</f>
        <v>CONTRIB. AUXILIO TRANSPORTE</v>
      </c>
    </row>
    <row r="16" spans="2:6" x14ac:dyDescent="0.25">
      <c r="B16" s="138" t="s">
        <v>169</v>
      </c>
      <c r="C16" s="138" t="s">
        <v>217</v>
      </c>
      <c r="D16" s="145"/>
      <c r="E16" s="146" t="str">
        <f>IF(B16="","",IF(Simulador!$E$10="","",B16))</f>
        <v>ACAO JUDICIAL SEXTA PARTE</v>
      </c>
      <c r="F16" s="146" t="str">
        <f>IF(C16="","",IF(Simulador!$E$10="","",C16))</f>
        <v>CONTRIBUICAO RPPS / IPREM</v>
      </c>
    </row>
    <row r="17" spans="2:6" x14ac:dyDescent="0.25">
      <c r="B17" s="138" t="s">
        <v>275</v>
      </c>
      <c r="C17" s="138" t="s">
        <v>274</v>
      </c>
      <c r="D17" s="145"/>
      <c r="E17" s="146" t="str">
        <f>IF(B17="","",IF(Simulador!$E$10="","",B17))</f>
        <v>ADIANTAMENTO 13 SALARIO</v>
      </c>
      <c r="F17" s="146" t="str">
        <f>IF(C17="","",IF(Simulador!$E$10="","",C17))</f>
        <v>DECIMO TERCEIRO</v>
      </c>
    </row>
    <row r="18" spans="2:6" x14ac:dyDescent="0.25">
      <c r="B18" s="138" t="s">
        <v>60</v>
      </c>
      <c r="C18" s="138" t="s">
        <v>225</v>
      </c>
      <c r="D18" s="145"/>
      <c r="E18" s="146" t="str">
        <f>IF(B18="","",IF(Simulador!$E$10="","",B18))</f>
        <v>ADIC. S/SEXTA - PARTE - ACAO JUDICIAL</v>
      </c>
      <c r="F18" s="146" t="str">
        <f>IF(C18="","",IF(Simulador!$E$10="","",C18))</f>
        <v>DESC H-AULA/ADI/ATI DAS JORNS</v>
      </c>
    </row>
    <row r="19" spans="2:6" x14ac:dyDescent="0.25">
      <c r="B19" s="138" t="s">
        <v>134</v>
      </c>
      <c r="C19" s="138" t="s">
        <v>225</v>
      </c>
      <c r="D19" s="145"/>
      <c r="E19" s="146" t="str">
        <f>IF(B19="","",IF(Simulador!$E$10="","",B19))</f>
        <v>ADICIONAL 1º QUINQUENIO</v>
      </c>
      <c r="F19" s="146" t="str">
        <f>IF(C19="","",IF(Simulador!$E$10="","",C19))</f>
        <v>DESC H-AULA/ADI/ATI DAS JORNS</v>
      </c>
    </row>
    <row r="20" spans="2:6" x14ac:dyDescent="0.25">
      <c r="B20" s="138" t="s">
        <v>135</v>
      </c>
      <c r="C20" s="138" t="s">
        <v>212</v>
      </c>
      <c r="D20" s="145"/>
      <c r="E20" s="146" t="str">
        <f>IF(B20="","",IF(Simulador!$E$10="","",B20))</f>
        <v>ADICIONAL 2º QUINQUENIO</v>
      </c>
      <c r="F20" s="146" t="str">
        <f>IF(C20="","",IF(Simulador!$E$10="","",C20))</f>
        <v>IMPOSTO DE RENDA NA FONTE</v>
      </c>
    </row>
    <row r="21" spans="2:6" x14ac:dyDescent="0.25">
      <c r="B21" s="138" t="s">
        <v>136</v>
      </c>
      <c r="C21" s="138" t="s">
        <v>227</v>
      </c>
      <c r="D21" s="145"/>
      <c r="E21" s="146" t="str">
        <f>IF(B21="","",IF(Simulador!$E$10="","",B21))</f>
        <v>ADICIONAL 3º QUINQUENIO</v>
      </c>
      <c r="F21" s="146" t="str">
        <f>IF(C21="","",IF(Simulador!$E$10="","",C21))</f>
        <v>MINAS BRASIL</v>
      </c>
    </row>
    <row r="22" spans="2:6" x14ac:dyDescent="0.25">
      <c r="B22" s="138" t="s">
        <v>137</v>
      </c>
      <c r="C22" s="138" t="s">
        <v>260</v>
      </c>
      <c r="D22" s="145"/>
      <c r="E22" s="146" t="str">
        <f>IF(B22="","",IF(Simulador!$E$10="","",B22))</f>
        <v>ADICIONAL 4º QUINQUENIO</v>
      </c>
      <c r="F22" s="146" t="str">
        <f>IF(C22="","",IF(Simulador!$E$10="","",C22))</f>
        <v>OLE CONSIGNADO</v>
      </c>
    </row>
    <row r="23" spans="2:6" x14ac:dyDescent="0.25">
      <c r="B23" s="138" t="s">
        <v>138</v>
      </c>
      <c r="C23" s="138" t="s">
        <v>214</v>
      </c>
      <c r="D23" s="145"/>
      <c r="E23" s="146" t="str">
        <f>IF(B23="","",IF(Simulador!$E$10="","",B23))</f>
        <v>ADICIONAL 5º QUINQUENIO</v>
      </c>
      <c r="F23" s="146" t="str">
        <f>IF(C23="","",IF(Simulador!$E$10="","",C23))</f>
        <v>SINDSEP-SIND SERV PUB MUN SP</v>
      </c>
    </row>
    <row r="24" spans="2:6" x14ac:dyDescent="0.25">
      <c r="B24" s="138" t="s">
        <v>139</v>
      </c>
      <c r="C24" s="138" t="s">
        <v>216</v>
      </c>
      <c r="D24" s="145"/>
      <c r="E24" s="146" t="str">
        <f>IF(B24="","",IF(Simulador!$E$10="","",B24))</f>
        <v>ADICIONAL 6º QUINQUENIO</v>
      </c>
      <c r="F24" s="146" t="str">
        <f>IF(C24="","",IF(Simulador!$E$10="","",C24))</f>
        <v>SINPEEM-SIND PROF ED ENS MUNIC</v>
      </c>
    </row>
    <row r="25" spans="2:6" x14ac:dyDescent="0.25">
      <c r="B25" s="138" t="s">
        <v>140</v>
      </c>
      <c r="C25" s="138"/>
      <c r="D25" s="145"/>
      <c r="E25" s="146" t="str">
        <f>IF(B25="","",IF(Simulador!$E$10="","",B25))</f>
        <v>ADICIONAL 7º QUINQUENIO</v>
      </c>
      <c r="F25" s="146" t="str">
        <f>IF(C25="","",IF(Simulador!$E$10="","",C25))</f>
        <v/>
      </c>
    </row>
    <row r="26" spans="2:6" x14ac:dyDescent="0.25">
      <c r="B26" s="138" t="s">
        <v>148</v>
      </c>
      <c r="C26" s="138"/>
      <c r="D26" s="145"/>
      <c r="E26" s="146" t="str">
        <f>IF(B26="","",IF(Simulador!$E$10="","",B26))</f>
        <v>ADICIONAL DE FUNCAO</v>
      </c>
      <c r="F26" s="146" t="str">
        <f>IF(C26="","",IF(Simulador!$E$10="","",C26))</f>
        <v/>
      </c>
    </row>
    <row r="27" spans="2:6" x14ac:dyDescent="0.25">
      <c r="B27" s="138" t="s">
        <v>141</v>
      </c>
      <c r="C27" s="138"/>
      <c r="D27" s="145"/>
      <c r="E27" s="146" t="str">
        <f>IF(B27="","",IF(Simulador!$E$10="","",B27))</f>
        <v>ADICIONAL LEI Nº 6645/65 ART.5º</v>
      </c>
      <c r="F27" s="146" t="str">
        <f>IF(C27="","",IF(Simulador!$E$10="","",C27))</f>
        <v/>
      </c>
    </row>
    <row r="28" spans="2:6" x14ac:dyDescent="0.25">
      <c r="B28" s="138" t="s">
        <v>68</v>
      </c>
      <c r="C28" s="138"/>
      <c r="D28" s="145"/>
      <c r="E28" s="146" t="str">
        <f>IF(B28="","",IF(Simulador!$E$10="","",B28))</f>
        <v>ADICIONAL RAIO X</v>
      </c>
      <c r="F28" s="146" t="str">
        <f>IF(C28="","",IF(Simulador!$E$10="","",C28))</f>
        <v/>
      </c>
    </row>
    <row r="29" spans="2:6" x14ac:dyDescent="0.25">
      <c r="B29" s="138" t="s">
        <v>127</v>
      </c>
      <c r="C29" s="138"/>
      <c r="D29" s="145"/>
      <c r="E29" s="146" t="str">
        <f>IF(B29="","",IF(Simulador!$E$10="","",B29))</f>
        <v>ADICIONAL SOBRE 6A PARTE - ACAO JUDICIAL</v>
      </c>
      <c r="F29" s="146" t="str">
        <f>IF(C29="","",IF(Simulador!$E$10="","",C29))</f>
        <v/>
      </c>
    </row>
    <row r="30" spans="2:6" x14ac:dyDescent="0.25">
      <c r="B30" s="138" t="s">
        <v>189</v>
      </c>
      <c r="C30" s="138"/>
      <c r="D30" s="145"/>
      <c r="E30" s="146" t="str">
        <f>IF(B30="","",IF(Simulador!$E$10="","",B30))</f>
        <v>AJUSTE CREDITO - ACAO JUDICIAL</v>
      </c>
      <c r="F30" s="146" t="str">
        <f>IF(C30="","",IF(Simulador!$E$10="","",C30))</f>
        <v/>
      </c>
    </row>
    <row r="31" spans="2:6" x14ac:dyDescent="0.25">
      <c r="B31" s="138" t="s">
        <v>273</v>
      </c>
      <c r="C31" s="138"/>
      <c r="D31" s="145"/>
      <c r="E31" s="146" t="str">
        <f>IF(B31="","",IF(Simulador!$E$10="","",B31))</f>
        <v>ATUALIZ.MONET. - DEC.31131/92</v>
      </c>
      <c r="F31" s="146" t="str">
        <f>IF(C31="","",IF(Simulador!$E$10="","",C31))</f>
        <v/>
      </c>
    </row>
    <row r="32" spans="2:6" x14ac:dyDescent="0.25">
      <c r="B32" s="138" t="s">
        <v>63</v>
      </c>
      <c r="C32" s="138"/>
      <c r="D32" s="145"/>
      <c r="E32" s="146" t="str">
        <f>IF(B32="","",IF(Simulador!$E$10="","",B32))</f>
        <v>AULAS EXCEDENTES NIVEL II</v>
      </c>
      <c r="F32" s="146" t="str">
        <f>IF(C32="","",IF(Simulador!$E$10="","",C32))</f>
        <v/>
      </c>
    </row>
    <row r="33" spans="2:6" x14ac:dyDescent="0.25">
      <c r="B33" s="138" t="s">
        <v>129</v>
      </c>
      <c r="C33" s="138"/>
      <c r="D33" s="145"/>
      <c r="E33" s="146" t="str">
        <f>IF(B33="","",IF(Simulador!$E$10="","",B33))</f>
        <v>AUXILIO ACIDENTARIO</v>
      </c>
      <c r="F33" s="146" t="str">
        <f>IF(C33="","",IF(Simulador!$E$10="","",C33))</f>
        <v/>
      </c>
    </row>
    <row r="34" spans="2:6" x14ac:dyDescent="0.25">
      <c r="B34" s="138" t="s">
        <v>220</v>
      </c>
      <c r="C34" s="138"/>
      <c r="D34" s="145"/>
      <c r="E34" s="146" t="str">
        <f>IF(B34="","",IF(Simulador!$E$10="","",B34))</f>
        <v>AUXILIO REFEICAO</v>
      </c>
      <c r="F34" s="146" t="str">
        <f>IF(C34="","",IF(Simulador!$E$10="","",C34))</f>
        <v/>
      </c>
    </row>
    <row r="35" spans="2:6" x14ac:dyDescent="0.25">
      <c r="B35" s="138" t="s">
        <v>280</v>
      </c>
      <c r="C35" s="138"/>
      <c r="D35" s="145"/>
      <c r="E35" s="146" t="str">
        <f>IF(B35="","",IF(Simulador!$E$10="","",B35))</f>
        <v>AUXILIO TRANSPORTE</v>
      </c>
      <c r="F35" s="146" t="str">
        <f>IF(C35="","",IF(Simulador!$E$10="","",C35))</f>
        <v/>
      </c>
    </row>
    <row r="36" spans="2:6" x14ac:dyDescent="0.25">
      <c r="B36" s="138" t="s">
        <v>160</v>
      </c>
      <c r="C36" s="138"/>
      <c r="D36" s="145"/>
      <c r="E36" s="146" t="str">
        <f>IF(B36="","",IF(Simulador!$E$10="","",B36))</f>
        <v>DIF ACAO JUDICIAL - LEI Nº 14591/07</v>
      </c>
      <c r="F36" s="146" t="str">
        <f>IF(C36="","",IF(Simulador!$E$10="","",C36))</f>
        <v/>
      </c>
    </row>
    <row r="37" spans="2:6" x14ac:dyDescent="0.25">
      <c r="B37" s="138" t="s">
        <v>157</v>
      </c>
      <c r="C37" s="138"/>
      <c r="D37" s="145"/>
      <c r="E37" s="146" t="str">
        <f>IF(B37="","",IF(Simulador!$E$10="","",B37))</f>
        <v>DIF. ACAO JUDICIAL - LEI 13.748/03</v>
      </c>
      <c r="F37" s="146" t="str">
        <f>IF(C37="","",IF(Simulador!$E$10="","",C37))</f>
        <v/>
      </c>
    </row>
    <row r="38" spans="2:6" x14ac:dyDescent="0.25">
      <c r="B38" s="138" t="s">
        <v>256</v>
      </c>
      <c r="C38" s="138"/>
      <c r="D38" s="145"/>
      <c r="E38" s="146" t="str">
        <f>IF(B38="","",IF(Simulador!$E$10="","",B38))</f>
        <v>DIF. ACAO JUDICIAL - LEI 13.748/04</v>
      </c>
      <c r="F38" s="146" t="str">
        <f>IF(C38="","",IF(Simulador!$E$10="","",C38))</f>
        <v/>
      </c>
    </row>
    <row r="39" spans="2:6" x14ac:dyDescent="0.25">
      <c r="B39" s="138" t="s">
        <v>87</v>
      </c>
      <c r="C39" s="138"/>
      <c r="D39" s="145"/>
      <c r="E39" s="146" t="str">
        <f>IF(B39="","",IF(Simulador!$E$10="","",B39))</f>
        <v>DIF. NIVEL SUPERIOR - ACAO JUDICIAL</v>
      </c>
      <c r="F39" s="146" t="str">
        <f>IF(C39="","",IF(Simulador!$E$10="","",C39))</f>
        <v/>
      </c>
    </row>
    <row r="40" spans="2:6" x14ac:dyDescent="0.25">
      <c r="B40" s="138" t="s">
        <v>62</v>
      </c>
      <c r="C40" s="138"/>
      <c r="D40" s="145"/>
      <c r="E40" s="146" t="str">
        <f>IF(B40="","",IF(Simulador!$E$10="","",B40))</f>
        <v>DIF. POR EXERCICIO DE OUTRO CARGO</v>
      </c>
      <c r="F40" s="146" t="str">
        <f>IF(C40="","",IF(Simulador!$E$10="","",C40))</f>
        <v/>
      </c>
    </row>
    <row r="41" spans="2:6" x14ac:dyDescent="0.25">
      <c r="B41" s="138" t="s">
        <v>128</v>
      </c>
      <c r="C41" s="138"/>
      <c r="D41" s="145"/>
      <c r="E41" s="146" t="str">
        <f>IF(B41="","",IF(Simulador!$E$10="","",B41))</f>
        <v>DIFERENCA POR ACIDENTE</v>
      </c>
      <c r="F41" s="146" t="str">
        <f>IF(C41="","",IF(Simulador!$E$10="","",C41))</f>
        <v/>
      </c>
    </row>
    <row r="42" spans="2:6" x14ac:dyDescent="0.25">
      <c r="B42" s="138" t="s">
        <v>146</v>
      </c>
      <c r="C42" s="138"/>
      <c r="D42" s="145"/>
      <c r="E42" s="146" t="str">
        <f>IF(B42="","",IF(Simulador!$E$10="","",B42))</f>
        <v>DIREITOS ASSEGURADOS</v>
      </c>
      <c r="F42" s="146" t="str">
        <f>IF(C42="","",IF(Simulador!$E$10="","",C42))</f>
        <v/>
      </c>
    </row>
    <row r="43" spans="2:6" x14ac:dyDescent="0.25">
      <c r="B43" s="138" t="s">
        <v>71</v>
      </c>
      <c r="C43" s="138"/>
      <c r="D43" s="145"/>
      <c r="E43" s="146" t="str">
        <f>IF(B43="","",IF(Simulador!$E$10="","",B43))</f>
        <v>FUNCAO GRATIFICADA</v>
      </c>
      <c r="F43" s="146" t="str">
        <f>IF(C43="","",IF(Simulador!$E$10="","",C43))</f>
        <v/>
      </c>
    </row>
    <row r="44" spans="2:6" x14ac:dyDescent="0.25">
      <c r="B44" s="138" t="s">
        <v>178</v>
      </c>
      <c r="C44" s="138"/>
      <c r="D44" s="145"/>
      <c r="E44" s="146" t="str">
        <f>IF(B44="","",IF(Simulador!$E$10="","",B44))</f>
        <v>GRAT APR PUBLICA - ACAO JUDICIAL</v>
      </c>
      <c r="F44" s="146" t="str">
        <f>IF(C44="","",IF(Simulador!$E$10="","",C44))</f>
        <v/>
      </c>
    </row>
    <row r="45" spans="2:6" x14ac:dyDescent="0.25">
      <c r="B45" s="138" t="s">
        <v>168</v>
      </c>
      <c r="C45" s="138"/>
      <c r="D45" s="145"/>
      <c r="E45" s="146" t="str">
        <f>IF(B45="","",IF(Simulador!$E$10="","",B45))</f>
        <v>GRAT ATIVIDADE</v>
      </c>
      <c r="F45" s="146" t="str">
        <f>IF(C45="","",IF(Simulador!$E$10="","",C45))</f>
        <v/>
      </c>
    </row>
    <row r="46" spans="2:6" x14ac:dyDescent="0.25">
      <c r="B46" s="138" t="s">
        <v>114</v>
      </c>
      <c r="C46" s="138"/>
      <c r="D46" s="145"/>
      <c r="E46" s="146" t="str">
        <f>IF(B46="","",IF(Simulador!$E$10="","",B46))</f>
        <v>GRAT ATIVIDADE - ACAO JUDICIAL</v>
      </c>
      <c r="F46" s="146" t="str">
        <f>IF(C46="","",IF(Simulador!$E$10="","",C46))</f>
        <v/>
      </c>
    </row>
    <row r="47" spans="2:6" x14ac:dyDescent="0.25">
      <c r="B47" s="138" t="s">
        <v>170</v>
      </c>
      <c r="C47" s="138"/>
      <c r="D47" s="145"/>
      <c r="E47" s="146" t="str">
        <f>IF(B47="","",IF(Simulador!$E$10="","",B47))</f>
        <v>GRAT DESEM ATIV CULT DES</v>
      </c>
      <c r="F47" s="146" t="str">
        <f>IF(C47="","",IF(Simulador!$E$10="","",C47))</f>
        <v/>
      </c>
    </row>
    <row r="48" spans="2:6" x14ac:dyDescent="0.25">
      <c r="B48" s="138" t="s">
        <v>167</v>
      </c>
      <c r="C48" s="138"/>
      <c r="D48" s="145"/>
      <c r="E48" s="146" t="str">
        <f>IF(B48="","",IF(Simulador!$E$10="","",B48))</f>
        <v>GRAT DESEMP ATIV SOCIAL</v>
      </c>
      <c r="F48" s="146" t="str">
        <f>IF(C48="","",IF(Simulador!$E$10="","",C48))</f>
        <v/>
      </c>
    </row>
    <row r="49" spans="2:6" x14ac:dyDescent="0.25">
      <c r="B49" s="138" t="s">
        <v>161</v>
      </c>
      <c r="C49" s="138"/>
      <c r="D49" s="145"/>
      <c r="E49" s="146" t="str">
        <f>IF(B49="","",IF(Simulador!$E$10="","",B49))</f>
        <v>GRAT DESEMP ATIVIDADE</v>
      </c>
      <c r="F49" s="146" t="str">
        <f>IF(C49="","",IF(Simulador!$E$10="","",C49))</f>
        <v/>
      </c>
    </row>
    <row r="50" spans="2:6" x14ac:dyDescent="0.25">
      <c r="B50" s="138" t="s">
        <v>158</v>
      </c>
      <c r="C50" s="138"/>
      <c r="D50" s="145"/>
      <c r="E50" s="146" t="str">
        <f>IF(B50="","",IF(Simulador!$E$10="","",B50))</f>
        <v>GRAT PRODUTIVIDADE FISCAL - META GLOBAL</v>
      </c>
      <c r="F50" s="146" t="str">
        <f>IF(C50="","",IF(Simulador!$E$10="","",C50))</f>
        <v/>
      </c>
    </row>
    <row r="51" spans="2:6" x14ac:dyDescent="0.25">
      <c r="B51" s="138" t="s">
        <v>131</v>
      </c>
      <c r="C51" s="138"/>
      <c r="D51" s="145"/>
      <c r="E51" s="146" t="str">
        <f>IF(B51="","",IF(Simulador!$E$10="","",B51))</f>
        <v>GRAT REGIME ESP TRABALHO POLICIAL</v>
      </c>
      <c r="F51" s="146" t="str">
        <f>IF(C51="","",IF(Simulador!$E$10="","",C51))</f>
        <v/>
      </c>
    </row>
    <row r="52" spans="2:6" x14ac:dyDescent="0.25">
      <c r="B52" s="138" t="s">
        <v>187</v>
      </c>
      <c r="C52" s="138"/>
      <c r="D52" s="145"/>
      <c r="E52" s="146" t="str">
        <f>IF(B52="","",IF(Simulador!$E$10="","",B52))</f>
        <v>GRAT RISCO VIDA - AC JUDICIAL</v>
      </c>
      <c r="F52" s="146" t="str">
        <f>IF(C52="","",IF(Simulador!$E$10="","",C52))</f>
        <v/>
      </c>
    </row>
    <row r="53" spans="2:6" x14ac:dyDescent="0.25">
      <c r="B53" s="138" t="s">
        <v>74</v>
      </c>
      <c r="C53" s="138"/>
      <c r="D53" s="145"/>
      <c r="E53" s="146" t="str">
        <f>IF(B53="","",IF(Simulador!$E$10="","",B53))</f>
        <v>GRAT. DE AUXILIAR DE ENSINO</v>
      </c>
      <c r="F53" s="146" t="str">
        <f>IF(C53="","",IF(Simulador!$E$10="","",C53))</f>
        <v/>
      </c>
    </row>
    <row r="54" spans="2:6" x14ac:dyDescent="0.25">
      <c r="B54" s="138" t="s">
        <v>76</v>
      </c>
      <c r="C54" s="138"/>
      <c r="D54" s="145"/>
      <c r="E54" s="146" t="str">
        <f>IF(B54="","",IF(Simulador!$E$10="","",B54))</f>
        <v>GRAT. DE REPRESENTACAO LEI 7747/72</v>
      </c>
      <c r="F54" s="146" t="str">
        <f>IF(C54="","",IF(Simulador!$E$10="","",C54))</f>
        <v/>
      </c>
    </row>
    <row r="55" spans="2:6" x14ac:dyDescent="0.25">
      <c r="B55" s="138" t="s">
        <v>77</v>
      </c>
      <c r="C55" s="138"/>
      <c r="D55" s="145"/>
      <c r="E55" s="146" t="str">
        <f>IF(B55="","",IF(Simulador!$E$10="","",B55))</f>
        <v>GRAT. ESPECIAL LEI N.7747/72</v>
      </c>
      <c r="F55" s="146" t="str">
        <f>IF(C55="","",IF(Simulador!$E$10="","",C55))</f>
        <v/>
      </c>
    </row>
    <row r="56" spans="2:6" x14ac:dyDescent="0.25">
      <c r="B56" s="138" t="s">
        <v>70</v>
      </c>
      <c r="C56" s="138"/>
      <c r="D56" s="145"/>
      <c r="E56" s="146" t="str">
        <f>IF(B56="","",IF(Simulador!$E$10="","",B56))</f>
        <v>GRAT. MOTORISTAS AMBULANCIA</v>
      </c>
      <c r="F56" s="146" t="str">
        <f>IF(C56="","",IF(Simulador!$E$10="","",C56))</f>
        <v/>
      </c>
    </row>
    <row r="57" spans="2:6" x14ac:dyDescent="0.25">
      <c r="B57" s="138" t="s">
        <v>69</v>
      </c>
      <c r="C57" s="138"/>
      <c r="D57" s="145"/>
      <c r="E57" s="146" t="str">
        <f>IF(B57="","",IF(Simulador!$E$10="","",B57))</f>
        <v>GRAT. POR RISCO DE VIDA E SAUDE</v>
      </c>
      <c r="F57" s="146" t="str">
        <f>IF(C57="","",IF(Simulador!$E$10="","",C57))</f>
        <v/>
      </c>
    </row>
    <row r="58" spans="2:6" x14ac:dyDescent="0.25">
      <c r="B58" s="138" t="s">
        <v>72</v>
      </c>
      <c r="C58" s="138"/>
      <c r="D58" s="145"/>
      <c r="E58" s="146" t="str">
        <f>IF(B58="","",IF(Simulador!$E$10="","",B58))</f>
        <v>GRAT. SERVICO EXTRAORDINARIO</v>
      </c>
      <c r="F58" s="146" t="str">
        <f>IF(C58="","",IF(Simulador!$E$10="","",C58))</f>
        <v/>
      </c>
    </row>
    <row r="59" spans="2:6" x14ac:dyDescent="0.25">
      <c r="B59" s="138" t="s">
        <v>65</v>
      </c>
      <c r="C59" s="138"/>
      <c r="D59" s="145"/>
      <c r="E59" s="146" t="str">
        <f>IF(B59="","",IF(Simulador!$E$10="","",B59))</f>
        <v>GRAT.DE DEDICACAO INTEGRAL</v>
      </c>
      <c r="F59" s="146" t="str">
        <f>IF(C59="","",IF(Simulador!$E$10="","",C59))</f>
        <v/>
      </c>
    </row>
    <row r="60" spans="2:6" x14ac:dyDescent="0.25">
      <c r="B60" s="138" t="s">
        <v>145</v>
      </c>
      <c r="C60" s="138"/>
      <c r="D60" s="145"/>
      <c r="E60" s="146" t="str">
        <f>IF(B60="","",IF(Simulador!$E$10="","",B60))</f>
        <v>GRATIF. DE NIVEL SUPERIOR</v>
      </c>
      <c r="F60" s="146" t="str">
        <f>IF(C60="","",IF(Simulador!$E$10="","",C60))</f>
        <v/>
      </c>
    </row>
    <row r="61" spans="2:6" x14ac:dyDescent="0.25">
      <c r="B61" s="138" t="s">
        <v>132</v>
      </c>
      <c r="C61" s="138"/>
      <c r="D61" s="145"/>
      <c r="E61" s="146" t="str">
        <f>IF(B61="","",IF(Simulador!$E$10="","",B61))</f>
        <v>GRATIFICACAO DE FUNCAO</v>
      </c>
      <c r="F61" s="146" t="str">
        <f>IF(C61="","",IF(Simulador!$E$10="","",C61))</f>
        <v/>
      </c>
    </row>
    <row r="62" spans="2:6" x14ac:dyDescent="0.25">
      <c r="B62" s="138" t="s">
        <v>147</v>
      </c>
      <c r="C62" s="138"/>
      <c r="D62" s="145"/>
      <c r="E62" s="146" t="str">
        <f>IF(B62="","",IF(Simulador!$E$10="","",B62))</f>
        <v>GRATIFICACAO DE GABINETE</v>
      </c>
      <c r="F62" s="146" t="str">
        <f>IF(C62="","",IF(Simulador!$E$10="","",C62))</f>
        <v/>
      </c>
    </row>
    <row r="63" spans="2:6" x14ac:dyDescent="0.25">
      <c r="B63" s="138" t="s">
        <v>266</v>
      </c>
      <c r="C63" s="138"/>
      <c r="D63" s="145"/>
      <c r="E63" s="146" t="str">
        <f>IF(B63="","",IF(Simulador!$E$10="","",B63))</f>
        <v>GRATIFICACAO DIFICIL ACESSO</v>
      </c>
      <c r="F63" s="146" t="str">
        <f>IF(C63="","",IF(Simulador!$E$10="","",C63))</f>
        <v/>
      </c>
    </row>
    <row r="64" spans="2:6" x14ac:dyDescent="0.25">
      <c r="B64" s="138" t="s">
        <v>152</v>
      </c>
      <c r="C64" s="138"/>
      <c r="D64" s="145"/>
      <c r="E64" s="146" t="str">
        <f>IF(B64="","",IF(Simulador!$E$10="","",B64))</f>
        <v>H. AULA PESSOAL VARIAVEL - INCORPORADA</v>
      </c>
      <c r="F64" s="146" t="str">
        <f>IF(C64="","",IF(Simulador!$E$10="","",C64))</f>
        <v/>
      </c>
    </row>
    <row r="65" spans="2:6" x14ac:dyDescent="0.25">
      <c r="B65" s="138" t="s">
        <v>133</v>
      </c>
      <c r="C65" s="138"/>
      <c r="D65" s="145"/>
      <c r="E65" s="146" t="str">
        <f>IF(B65="","",IF(Simulador!$E$10="","",B65))</f>
        <v>HONORARIOS ADVOCATICIOS</v>
      </c>
      <c r="F65" s="146" t="str">
        <f>IF(C65="","",IF(Simulador!$E$10="","",C65))</f>
        <v/>
      </c>
    </row>
    <row r="66" spans="2:6" x14ac:dyDescent="0.25">
      <c r="B66" s="138" t="s">
        <v>80</v>
      </c>
      <c r="C66" s="138"/>
      <c r="D66" s="145"/>
      <c r="E66" s="146" t="str">
        <f>IF(B66="","",IF(Simulador!$E$10="","",B66))</f>
        <v>HORA - AULA EXCEDENTE - JEX</v>
      </c>
      <c r="F66" s="146" t="str">
        <f>IF(C66="","",IF(Simulador!$E$10="","",C66))</f>
        <v/>
      </c>
    </row>
    <row r="67" spans="2:6" x14ac:dyDescent="0.25">
      <c r="B67" s="138" t="s">
        <v>83</v>
      </c>
      <c r="C67" s="138"/>
      <c r="D67" s="145"/>
      <c r="E67" s="146" t="str">
        <f>IF(B67="","",IF(Simulador!$E$10="","",B67))</f>
        <v>HORA AULA EXC. - JEX INCORPORADA</v>
      </c>
      <c r="F67" s="146" t="str">
        <f>IF(C67="","",IF(Simulador!$E$10="","",C67))</f>
        <v/>
      </c>
    </row>
    <row r="68" spans="2:6" x14ac:dyDescent="0.25">
      <c r="B68" s="138" t="s">
        <v>84</v>
      </c>
      <c r="C68" s="138"/>
      <c r="D68" s="145"/>
      <c r="E68" s="146" t="str">
        <f>IF(B68="","",IF(Simulador!$E$10="","",B68))</f>
        <v>HORA TRAB.EXC.TEX INCORPOR.</v>
      </c>
      <c r="F68" s="146" t="str">
        <f>IF(C68="","",IF(Simulador!$E$10="","",C68))</f>
        <v/>
      </c>
    </row>
    <row r="69" spans="2:6" x14ac:dyDescent="0.25">
      <c r="B69" s="138" t="s">
        <v>81</v>
      </c>
      <c r="C69" s="138"/>
      <c r="D69" s="145"/>
      <c r="E69" s="146" t="str">
        <f>IF(B69="","",IF(Simulador!$E$10="","",B69))</f>
        <v>HORA TRABALHO EXCEDENTE - TEX</v>
      </c>
      <c r="F69" s="146" t="str">
        <f>IF(C69="","",IF(Simulador!$E$10="","",C69))</f>
        <v/>
      </c>
    </row>
    <row r="70" spans="2:6" x14ac:dyDescent="0.25">
      <c r="B70" s="138" t="s">
        <v>73</v>
      </c>
      <c r="C70" s="138"/>
      <c r="D70" s="145"/>
      <c r="E70" s="146" t="str">
        <f>IF(B70="","",IF(Simulador!$E$10="","",B70))</f>
        <v>HORAS EXTRAS/SUPLEMENTARES</v>
      </c>
      <c r="F70" s="146" t="str">
        <f>IF(C70="","",IF(Simulador!$E$10="","",C70))</f>
        <v/>
      </c>
    </row>
    <row r="71" spans="2:6" x14ac:dyDescent="0.25">
      <c r="B71" s="138" t="s">
        <v>186</v>
      </c>
      <c r="C71" s="138"/>
      <c r="D71" s="145"/>
      <c r="E71" s="146" t="str">
        <f>IF(B71="","",IF(Simulador!$E$10="","",B71))</f>
        <v>INSALUBR INCORP OPT SUBSIDIO</v>
      </c>
      <c r="F71" s="146" t="str">
        <f>IF(C71="","",IF(Simulador!$E$10="","",C71))</f>
        <v/>
      </c>
    </row>
    <row r="72" spans="2:6" x14ac:dyDescent="0.25">
      <c r="B72" s="138" t="s">
        <v>82</v>
      </c>
      <c r="C72" s="138"/>
      <c r="D72" s="145"/>
      <c r="E72" s="146" t="str">
        <f>IF(B72="","",IF(Simulador!$E$10="","",B72))</f>
        <v>INSALUBRIDADE INCORPORADA</v>
      </c>
      <c r="F72" s="146" t="str">
        <f>IF(C72="","",IF(Simulador!$E$10="","",C72))</f>
        <v/>
      </c>
    </row>
    <row r="73" spans="2:6" x14ac:dyDescent="0.25">
      <c r="B73" s="138" t="s">
        <v>144</v>
      </c>
      <c r="C73" s="138"/>
      <c r="D73" s="145"/>
      <c r="E73" s="146" t="str">
        <f>IF(B73="","",IF(Simulador!$E$10="","",B73))</f>
        <v>JORNADA H - 40</v>
      </c>
      <c r="F73" s="146" t="str">
        <f>IF(C73="","",IF(Simulador!$E$10="","",C73))</f>
        <v/>
      </c>
    </row>
    <row r="74" spans="2:6" x14ac:dyDescent="0.25">
      <c r="B74" s="138" t="s">
        <v>155</v>
      </c>
      <c r="C74" s="138"/>
      <c r="D74" s="145"/>
      <c r="E74" s="146" t="str">
        <f>IF(B74="","",IF(Simulador!$E$10="","",B74))</f>
        <v>LEI 13.400/02 - ART. 2º</v>
      </c>
      <c r="F74" s="146" t="str">
        <f>IF(C74="","",IF(Simulador!$E$10="","",C74))</f>
        <v/>
      </c>
    </row>
    <row r="75" spans="2:6" x14ac:dyDescent="0.25">
      <c r="B75" s="138" t="s">
        <v>93</v>
      </c>
      <c r="C75" s="138"/>
      <c r="D75" s="145"/>
      <c r="E75" s="146" t="str">
        <f>IF(B75="","",IF(Simulador!$E$10="","",B75))</f>
        <v>MEDIA ADIC INSALUBRIDADE</v>
      </c>
      <c r="F75" s="146" t="str">
        <f>IF(C75="","",IF(Simulador!$E$10="","",C75))</f>
        <v/>
      </c>
    </row>
    <row r="76" spans="2:6" x14ac:dyDescent="0.25">
      <c r="B76" s="138" t="s">
        <v>117</v>
      </c>
      <c r="C76" s="138"/>
      <c r="D76" s="145"/>
      <c r="E76" s="146" t="str">
        <f>IF(B76="","",IF(Simulador!$E$10="","",B76))</f>
        <v>MEDIA ADIC PERIC/PENOSIDADE</v>
      </c>
      <c r="F76" s="146" t="str">
        <f>IF(C76="","",IF(Simulador!$E$10="","",C76))</f>
        <v/>
      </c>
    </row>
    <row r="77" spans="2:6" x14ac:dyDescent="0.25">
      <c r="B77" s="138" t="s">
        <v>185</v>
      </c>
      <c r="C77" s="138"/>
      <c r="D77" s="145"/>
      <c r="E77" s="146" t="str">
        <f>IF(B77="","",IF(Simulador!$E$10="","",B77))</f>
        <v>MEDIA DIF ACESSO SUBSIDIO</v>
      </c>
      <c r="F77" s="146" t="str">
        <f>IF(C77="","",IF(Simulador!$E$10="","",C77))</f>
        <v/>
      </c>
    </row>
    <row r="78" spans="2:6" x14ac:dyDescent="0.25">
      <c r="B78" s="138" t="s">
        <v>94</v>
      </c>
      <c r="C78" s="138"/>
      <c r="D78" s="145"/>
      <c r="E78" s="146" t="str">
        <f>IF(B78="","",IF(Simulador!$E$10="","",B78))</f>
        <v>MEDIA DIF EXERC OUTRO CARGO</v>
      </c>
      <c r="F78" s="146" t="str">
        <f>IF(C78="","",IF(Simulador!$E$10="","",C78))</f>
        <v/>
      </c>
    </row>
    <row r="79" spans="2:6" x14ac:dyDescent="0.25">
      <c r="B79" s="138" t="s">
        <v>116</v>
      </c>
      <c r="C79" s="138"/>
      <c r="D79" s="145"/>
      <c r="E79" s="146" t="str">
        <f>IF(B79="","",IF(Simulador!$E$10="","",B79))</f>
        <v>MEDIA EXERC ATIVIDADE REGIOES ESTRATEGICAS</v>
      </c>
      <c r="F79" s="146" t="str">
        <f>IF(C79="","",IF(Simulador!$E$10="","",C79))</f>
        <v/>
      </c>
    </row>
    <row r="80" spans="2:6" x14ac:dyDescent="0.25">
      <c r="B80" s="138" t="s">
        <v>95</v>
      </c>
      <c r="C80" s="138"/>
      <c r="D80" s="145"/>
      <c r="E80" s="146" t="str">
        <f>IF(B80="","",IF(Simulador!$E$10="","",B80))</f>
        <v>MEDIA FUNCAO GRATIFICADA</v>
      </c>
      <c r="F80" s="146" t="str">
        <f>IF(C80="","",IF(Simulador!$E$10="","",C80))</f>
        <v/>
      </c>
    </row>
    <row r="81" spans="2:6" x14ac:dyDescent="0.25">
      <c r="B81" s="138" t="s">
        <v>115</v>
      </c>
      <c r="C81" s="138"/>
      <c r="D81" s="145"/>
      <c r="E81" s="146" t="str">
        <f>IF(B81="","",IF(Simulador!$E$10="","",B81))</f>
        <v>MEDIA GAP</v>
      </c>
      <c r="F81" s="146" t="str">
        <f>IF(C81="","",IF(Simulador!$E$10="","",C81))</f>
        <v/>
      </c>
    </row>
    <row r="82" spans="2:6" x14ac:dyDescent="0.25">
      <c r="B82" s="138" t="s">
        <v>102</v>
      </c>
      <c r="C82" s="138"/>
      <c r="D82" s="145"/>
      <c r="E82" s="146" t="str">
        <f>IF(B82="","",IF(Simulador!$E$10="","",B82))</f>
        <v>MEDIA GRAT ESP ESPEC ASS DES S</v>
      </c>
      <c r="F82" s="146" t="str">
        <f>IF(C82="","",IF(Simulador!$E$10="","",C82))</f>
        <v/>
      </c>
    </row>
    <row r="83" spans="2:6" x14ac:dyDescent="0.25">
      <c r="B83" s="138" t="s">
        <v>92</v>
      </c>
      <c r="C83" s="138"/>
      <c r="D83" s="145"/>
      <c r="E83" s="146" t="str">
        <f>IF(B83="","",IF(Simulador!$E$10="","",B83))</f>
        <v>MEDIA GRAT ESP PR SER ASS S</v>
      </c>
      <c r="F83" s="146" t="str">
        <f>IF(C83="","",IF(Simulador!$E$10="","",C83))</f>
        <v/>
      </c>
    </row>
    <row r="84" spans="2:6" x14ac:dyDescent="0.25">
      <c r="B84" s="138" t="s">
        <v>101</v>
      </c>
      <c r="C84" s="138"/>
      <c r="D84" s="145"/>
      <c r="E84" s="146" t="str">
        <f>IF(B84="","",IF(Simulador!$E$10="","",B84))</f>
        <v>MEDIA GRAT ESP SERV SOC S - GES</v>
      </c>
      <c r="F84" s="146" t="str">
        <f>IF(C84="","",IF(Simulador!$E$10="","",C84))</f>
        <v/>
      </c>
    </row>
    <row r="85" spans="2:6" x14ac:dyDescent="0.25">
      <c r="B85" s="138" t="s">
        <v>123</v>
      </c>
      <c r="C85" s="138"/>
      <c r="D85" s="145"/>
      <c r="E85" s="146" t="str">
        <f>IF(B85="","",IF(Simulador!$E$10="","",B85))</f>
        <v>MEDIA GRAT PLANT EXT SUBSIDIO</v>
      </c>
      <c r="F85" s="146" t="str">
        <f>IF(C85="","",IF(Simulador!$E$10="","",C85))</f>
        <v/>
      </c>
    </row>
    <row r="86" spans="2:6" x14ac:dyDescent="0.25">
      <c r="B86" s="138" t="s">
        <v>96</v>
      </c>
      <c r="C86" s="138"/>
      <c r="D86" s="145"/>
      <c r="E86" s="146" t="str">
        <f>IF(B86="","",IF(Simulador!$E$10="","",B86))</f>
        <v>MEDIA GRATIF APOIO EDUCACAO</v>
      </c>
      <c r="F86" s="146" t="str">
        <f>IF(C86="","",IF(Simulador!$E$10="","",C86))</f>
        <v/>
      </c>
    </row>
    <row r="87" spans="2:6" x14ac:dyDescent="0.25">
      <c r="B87" s="138" t="s">
        <v>90</v>
      </c>
      <c r="C87" s="138"/>
      <c r="D87" s="145"/>
      <c r="E87" s="146" t="str">
        <f>IF(B87="","",IF(Simulador!$E$10="","",B87))</f>
        <v>MEDIA GRATIF APRESENT PUBLICA</v>
      </c>
      <c r="F87" s="146" t="str">
        <f>IF(C87="","",IF(Simulador!$E$10="","",C87))</f>
        <v/>
      </c>
    </row>
    <row r="88" spans="2:6" x14ac:dyDescent="0.25">
      <c r="B88" s="138" t="s">
        <v>89</v>
      </c>
      <c r="C88" s="138"/>
      <c r="D88" s="145"/>
      <c r="E88" s="146" t="str">
        <f>IF(B88="","",IF(Simulador!$E$10="","",B88))</f>
        <v>MEDIA GRATIF DIFICIL ACESSO</v>
      </c>
      <c r="F88" s="146" t="str">
        <f>IF(C88="","",IF(Simulador!$E$10="","",C88))</f>
        <v/>
      </c>
    </row>
    <row r="89" spans="2:6" x14ac:dyDescent="0.25">
      <c r="B89" s="138" t="s">
        <v>100</v>
      </c>
      <c r="C89" s="138"/>
      <c r="D89" s="145"/>
      <c r="E89" s="146" t="str">
        <f>IF(B89="","",IF(Simulador!$E$10="","",B89))</f>
        <v>MEDIA GRATIF ESP REGIM PLANTAO</v>
      </c>
      <c r="F89" s="146" t="str">
        <f>IF(C89="","",IF(Simulador!$E$10="","",C89))</f>
        <v/>
      </c>
    </row>
    <row r="90" spans="2:6" x14ac:dyDescent="0.25">
      <c r="B90" s="138" t="s">
        <v>103</v>
      </c>
      <c r="C90" s="138"/>
      <c r="D90" s="145"/>
      <c r="E90" s="146" t="str">
        <f>IF(B90="","",IF(Simulador!$E$10="","",B90))</f>
        <v>MEDIA GRATIF EXEC TRAB TECNICO</v>
      </c>
      <c r="F90" s="146" t="str">
        <f>IF(C90="","",IF(Simulador!$E$10="","",C90))</f>
        <v/>
      </c>
    </row>
    <row r="91" spans="2:6" x14ac:dyDescent="0.25">
      <c r="B91" s="138" t="s">
        <v>97</v>
      </c>
      <c r="C91" s="138"/>
      <c r="D91" s="145"/>
      <c r="E91" s="146" t="str">
        <f>IF(B91="","",IF(Simulador!$E$10="","",B91))</f>
        <v>MEDIA GRATIF MOT AMBULANCIA</v>
      </c>
      <c r="F91" s="146" t="str">
        <f>IF(C91="","",IF(Simulador!$E$10="","",C91))</f>
        <v/>
      </c>
    </row>
    <row r="92" spans="2:6" x14ac:dyDescent="0.25">
      <c r="B92" s="138" t="s">
        <v>98</v>
      </c>
      <c r="C92" s="138"/>
      <c r="D92" s="145"/>
      <c r="E92" s="146" t="str">
        <f>IF(B92="","",IF(Simulador!$E$10="","",B92))</f>
        <v>MEDIA GRATIF NIVEL SUPERIOR</v>
      </c>
      <c r="F92" s="146" t="str">
        <f>IF(C92="","",IF(Simulador!$E$10="","",C92))</f>
        <v/>
      </c>
    </row>
    <row r="93" spans="2:6" x14ac:dyDescent="0.25">
      <c r="B93" s="138" t="s">
        <v>99</v>
      </c>
      <c r="C93" s="138"/>
      <c r="D93" s="145"/>
      <c r="E93" s="146" t="str">
        <f>IF(B93="","",IF(Simulador!$E$10="","",B93))</f>
        <v>MEDIA GRATIF PLANTAO SEMANAL</v>
      </c>
      <c r="F93" s="146" t="str">
        <f>IF(C93="","",IF(Simulador!$E$10="","",C93))</f>
        <v/>
      </c>
    </row>
    <row r="94" spans="2:6" x14ac:dyDescent="0.25">
      <c r="B94" s="138" t="s">
        <v>91</v>
      </c>
      <c r="C94" s="138"/>
      <c r="D94" s="145"/>
      <c r="E94" s="146" t="str">
        <f>IF(B94="","",IF(Simulador!$E$10="","",B94))</f>
        <v>MEDIA GRATIF SERVICO NOTURNO</v>
      </c>
      <c r="F94" s="146" t="str">
        <f>IF(C94="","",IF(Simulador!$E$10="","",C94))</f>
        <v/>
      </c>
    </row>
    <row r="95" spans="2:6" x14ac:dyDescent="0.25">
      <c r="B95" s="138" t="s">
        <v>112</v>
      </c>
      <c r="C95" s="138"/>
      <c r="D95" s="145"/>
      <c r="E95" s="146" t="str">
        <f>IF(B95="","",IF(Simulador!$E$10="","",B95))</f>
        <v>MEDIA GRATIFICACAO DE FUNCAO</v>
      </c>
      <c r="F95" s="146" t="str">
        <f>IF(C95="","",IF(Simulador!$E$10="","",C95))</f>
        <v/>
      </c>
    </row>
    <row r="96" spans="2:6" x14ac:dyDescent="0.25">
      <c r="B96" s="138" t="s">
        <v>113</v>
      </c>
      <c r="C96" s="138"/>
      <c r="D96" s="145"/>
      <c r="E96" s="146" t="str">
        <f>IF(B96="","",IF(Simulador!$E$10="","",B96))</f>
        <v>MEDIA GRATIFICACAO DE GABINETE</v>
      </c>
      <c r="F96" s="146" t="str">
        <f>IF(C96="","",IF(Simulador!$E$10="","",C96))</f>
        <v/>
      </c>
    </row>
    <row r="97" spans="2:6" x14ac:dyDescent="0.25">
      <c r="B97" s="138" t="s">
        <v>121</v>
      </c>
      <c r="C97" s="138"/>
      <c r="D97" s="145"/>
      <c r="E97" s="146" t="str">
        <f>IF(B97="","",IF(Simulador!$E$10="","",B97))</f>
        <v>MEDIA INSALUBRIDADE SUBSIDIO</v>
      </c>
      <c r="F97" s="146" t="str">
        <f>IF(C97="","",IF(Simulador!$E$10="","",C97))</f>
        <v/>
      </c>
    </row>
    <row r="98" spans="2:6" x14ac:dyDescent="0.25">
      <c r="B98" s="138" t="s">
        <v>105</v>
      </c>
      <c r="C98" s="138"/>
      <c r="D98" s="145"/>
      <c r="E98" s="146" t="str">
        <f>IF(B98="","",IF(Simulador!$E$10="","",B98))</f>
        <v>MEDIA JORNADA 40 H - J40</v>
      </c>
      <c r="F98" s="146" t="str">
        <f>IF(C98="","",IF(Simulador!$E$10="","",C98))</f>
        <v/>
      </c>
    </row>
    <row r="99" spans="2:6" x14ac:dyDescent="0.25">
      <c r="B99" s="138" t="s">
        <v>106</v>
      </c>
      <c r="C99" s="138"/>
      <c r="D99" s="145"/>
      <c r="E99" s="146" t="str">
        <f>IF(B99="","",IF(Simulador!$E$10="","",B99))</f>
        <v>MEDIA JORNADA HORA AULA EX - JEX</v>
      </c>
      <c r="F99" s="146" t="str">
        <f>IF(C99="","",IF(Simulador!$E$10="","",C99))</f>
        <v/>
      </c>
    </row>
    <row r="100" spans="2:6" x14ac:dyDescent="0.25">
      <c r="B100" s="138" t="s">
        <v>124</v>
      </c>
      <c r="C100" s="138"/>
      <c r="D100" s="145"/>
      <c r="E100" s="146" t="str">
        <f>IF(B100="","",IF(Simulador!$E$10="","",B100))</f>
        <v>MEDIA JORNADA INCORPORADA</v>
      </c>
      <c r="F100" s="146" t="str">
        <f>IF(C100="","",IF(Simulador!$E$10="","",C100))</f>
        <v/>
      </c>
    </row>
    <row r="101" spans="2:6" x14ac:dyDescent="0.25">
      <c r="B101" s="138" t="s">
        <v>107</v>
      </c>
      <c r="C101" s="138"/>
      <c r="D101" s="145"/>
      <c r="E101" s="146" t="str">
        <f>IF(B101="","",IF(Simulador!$E$10="","",B101))</f>
        <v>MEDIA JORNADA TRAB EXC - TEX</v>
      </c>
      <c r="F101" s="146" t="str">
        <f>IF(C101="","",IF(Simulador!$E$10="","",C101))</f>
        <v/>
      </c>
    </row>
    <row r="102" spans="2:6" x14ac:dyDescent="0.25">
      <c r="B102" s="138" t="s">
        <v>122</v>
      </c>
      <c r="C102" s="138"/>
      <c r="D102" s="145"/>
      <c r="E102" s="146" t="str">
        <f>IF(B102="","",IF(Simulador!$E$10="","",B102))</f>
        <v>MEDIA PERIC/PEN SUBSIDIO</v>
      </c>
      <c r="F102" s="146" t="str">
        <f>IF(C102="","",IF(Simulador!$E$10="","",C102))</f>
        <v/>
      </c>
    </row>
    <row r="103" spans="2:6" x14ac:dyDescent="0.25">
      <c r="B103" s="138" t="s">
        <v>108</v>
      </c>
      <c r="C103" s="138"/>
      <c r="D103" s="145"/>
      <c r="E103" s="146" t="str">
        <f>IF(B103="","",IF(Simulador!$E$10="","",B103))</f>
        <v>MEDIA PLANTAO COMPLEM - J40</v>
      </c>
      <c r="F103" s="146" t="str">
        <f>IF(C103="","",IF(Simulador!$E$10="","",C103))</f>
        <v/>
      </c>
    </row>
    <row r="104" spans="2:6" x14ac:dyDescent="0.25">
      <c r="B104" s="138" t="s">
        <v>109</v>
      </c>
      <c r="C104" s="138"/>
      <c r="D104" s="145"/>
      <c r="E104" s="146" t="str">
        <f>IF(B104="","",IF(Simulador!$E$10="","",B104))</f>
        <v>MEDIA PREMIO PRODUTIV DESEMP</v>
      </c>
      <c r="F104" s="146" t="str">
        <f>IF(C104="","",IF(Simulador!$E$10="","",C104))</f>
        <v/>
      </c>
    </row>
    <row r="105" spans="2:6" x14ac:dyDescent="0.25">
      <c r="B105" s="138" t="s">
        <v>110</v>
      </c>
      <c r="C105" s="138"/>
      <c r="D105" s="145"/>
      <c r="E105" s="146" t="str">
        <f>IF(B105="","",IF(Simulador!$E$10="","",B105))</f>
        <v>MEDIA QUEBRA DE CAIXA</v>
      </c>
      <c r="F105" s="146" t="str">
        <f>IF(C105="","",IF(Simulador!$E$10="","",C105))</f>
        <v/>
      </c>
    </row>
    <row r="106" spans="2:6" x14ac:dyDescent="0.25">
      <c r="B106" s="138" t="s">
        <v>111</v>
      </c>
      <c r="C106" s="138"/>
      <c r="D106" s="145"/>
      <c r="E106" s="146" t="str">
        <f>IF(B106="","",IF(Simulador!$E$10="","",B106))</f>
        <v>MEDIA RDPE</v>
      </c>
      <c r="F106" s="146" t="str">
        <f>IF(C106="","",IF(Simulador!$E$10="","",C106))</f>
        <v/>
      </c>
    </row>
    <row r="107" spans="2:6" x14ac:dyDescent="0.25">
      <c r="B107" s="138" t="s">
        <v>120</v>
      </c>
      <c r="C107" s="138"/>
      <c r="D107" s="145"/>
      <c r="E107" s="146" t="str">
        <f>IF(B107="","",IF(Simulador!$E$10="","",B107))</f>
        <v>MEDIA REM CARGO COMISSAO</v>
      </c>
      <c r="F107" s="146" t="str">
        <f>IF(C107="","",IF(Simulador!$E$10="","",C107))</f>
        <v/>
      </c>
    </row>
    <row r="108" spans="2:6" x14ac:dyDescent="0.25">
      <c r="B108" s="138" t="s">
        <v>104</v>
      </c>
      <c r="C108" s="138"/>
      <c r="D108" s="145"/>
      <c r="E108" s="146" t="str">
        <f>IF(B108="","",IF(Simulador!$E$10="","",B108))</f>
        <v>MEDIA VANT DEC INC DIREITOS/VANT</v>
      </c>
      <c r="F108" s="146" t="str">
        <f>IF(C108="","",IF(Simulador!$E$10="","",C108))</f>
        <v/>
      </c>
    </row>
    <row r="109" spans="2:6" x14ac:dyDescent="0.25">
      <c r="B109" s="138" t="s">
        <v>125</v>
      </c>
      <c r="C109" s="138"/>
      <c r="D109" s="145"/>
      <c r="E109" s="146" t="str">
        <f>IF(B109="","",IF(Simulador!$E$10="","",B109))</f>
        <v>PADRAO DE VENCIMENTO/SALARIO</v>
      </c>
      <c r="F109" s="146" t="str">
        <f>IF(C109="","",IF(Simulador!$E$10="","",C109))</f>
        <v/>
      </c>
    </row>
    <row r="110" spans="2:6" x14ac:dyDescent="0.25">
      <c r="B110" s="138" t="s">
        <v>57</v>
      </c>
      <c r="C110" s="138"/>
      <c r="D110" s="145"/>
      <c r="E110" s="146" t="str">
        <f>IF(B110="","",IF(Simulador!$E$10="","",B110))</f>
        <v>PADRAO SALARIO ADMITIDO/CONTR</v>
      </c>
      <c r="F110" s="146" t="str">
        <f>IF(C110="","",IF(Simulador!$E$10="","",C110))</f>
        <v/>
      </c>
    </row>
    <row r="111" spans="2:6" x14ac:dyDescent="0.25">
      <c r="B111" s="138" t="s">
        <v>240</v>
      </c>
      <c r="C111" s="138"/>
      <c r="D111" s="145"/>
      <c r="E111" s="146" t="str">
        <f>IF(B111="","",IF(Simulador!$E$10="","",B111))</f>
        <v>PADRAO VCT/SALARIO APOSENTADO</v>
      </c>
      <c r="F111" s="146" t="str">
        <f>IF(C111="","",IF(Simulador!$E$10="","",C111))</f>
        <v/>
      </c>
    </row>
    <row r="112" spans="2:6" x14ac:dyDescent="0.25">
      <c r="B112" s="138" t="s">
        <v>61</v>
      </c>
      <c r="C112" s="138"/>
      <c r="D112" s="145"/>
      <c r="E112" s="146" t="str">
        <f>IF(B112="","",IF(Simulador!$E$10="","",B112))</f>
        <v>PENSAO NORMAL</v>
      </c>
      <c r="F112" s="146" t="str">
        <f>IF(C112="","",IF(Simulador!$E$10="","",C112))</f>
        <v/>
      </c>
    </row>
    <row r="113" spans="2:6" x14ac:dyDescent="0.25">
      <c r="B113" s="138" t="s">
        <v>153</v>
      </c>
      <c r="C113" s="138"/>
      <c r="D113" s="145"/>
      <c r="E113" s="146" t="str">
        <f>IF(B113="","",IF(Simulador!$E$10="","",B113))</f>
        <v>PISO MINIMO</v>
      </c>
      <c r="F113" s="146" t="str">
        <f>IF(C113="","",IF(Simulador!$E$10="","",C113))</f>
        <v/>
      </c>
    </row>
    <row r="114" spans="2:6" x14ac:dyDescent="0.25">
      <c r="B114" s="138" t="s">
        <v>159</v>
      </c>
      <c r="C114" s="138"/>
      <c r="D114" s="145"/>
      <c r="E114" s="146" t="str">
        <f>IF(B114="","",IF(Simulador!$E$10="","",B114))</f>
        <v>PISO SALARIO MINIMO</v>
      </c>
      <c r="F114" s="146" t="str">
        <f>IF(C114="","",IF(Simulador!$E$10="","",C114))</f>
        <v/>
      </c>
    </row>
    <row r="115" spans="2:6" x14ac:dyDescent="0.25">
      <c r="B115" s="138" t="s">
        <v>162</v>
      </c>
      <c r="C115" s="138"/>
      <c r="D115" s="145"/>
      <c r="E115" s="146" t="str">
        <f>IF(B115="","",IF(Simulador!$E$10="","",B115))</f>
        <v>PREMIO PROD DESEMP</v>
      </c>
      <c r="F115" s="146" t="str">
        <f>IF(C115="","",IF(Simulador!$E$10="","",C115))</f>
        <v/>
      </c>
    </row>
    <row r="116" spans="2:6" x14ac:dyDescent="0.25">
      <c r="B116" s="138" t="s">
        <v>130</v>
      </c>
      <c r="C116" s="138"/>
      <c r="D116" s="145"/>
      <c r="E116" s="146" t="str">
        <f>IF(B116="","",IF(Simulador!$E$10="","",B116))</f>
        <v>PRODUTIVIDADE FISCAL</v>
      </c>
      <c r="F116" s="146" t="str">
        <f>IF(C116="","",IF(Simulador!$E$10="","",C116))</f>
        <v/>
      </c>
    </row>
    <row r="117" spans="2:6" x14ac:dyDescent="0.25">
      <c r="B117" s="138" t="s">
        <v>67</v>
      </c>
      <c r="C117" s="138"/>
      <c r="D117" s="145"/>
      <c r="E117" s="146" t="str">
        <f>IF(B117="","",IF(Simulador!$E$10="","",B117))</f>
        <v>QUEBRA DE CAIXA</v>
      </c>
      <c r="F117" s="146" t="str">
        <f>IF(C117="","",IF(Simulador!$E$10="","",C117))</f>
        <v/>
      </c>
    </row>
    <row r="118" spans="2:6" x14ac:dyDescent="0.25">
      <c r="B118" s="138" t="s">
        <v>85</v>
      </c>
      <c r="C118" s="138"/>
      <c r="D118" s="145"/>
      <c r="E118" s="146" t="str">
        <f>IF(B118="","",IF(Simulador!$E$10="","",B118))</f>
        <v>RDPE - LEI 9265/81 - ACAO JUDICIAL</v>
      </c>
      <c r="F118" s="146" t="str">
        <f>IF(C118="","",IF(Simulador!$E$10="","",C118))</f>
        <v/>
      </c>
    </row>
    <row r="119" spans="2:6" x14ac:dyDescent="0.25">
      <c r="B119" s="138" t="s">
        <v>64</v>
      </c>
      <c r="C119" s="138"/>
      <c r="D119" s="145"/>
      <c r="E119" s="146" t="str">
        <f>IF(B119="","",IF(Simulador!$E$10="","",B119))</f>
        <v>REGIME DEDIC.PROFISSIONAL EXCLUSIVA</v>
      </c>
      <c r="F119" s="146" t="str">
        <f>IF(C119="","",IF(Simulador!$E$10="","",C119))</f>
        <v/>
      </c>
    </row>
    <row r="120" spans="2:6" x14ac:dyDescent="0.25">
      <c r="B120" s="138" t="s">
        <v>183</v>
      </c>
      <c r="C120" s="138"/>
      <c r="D120" s="145"/>
      <c r="E120" s="146" t="str">
        <f>IF(B120="","",IF(Simulador!$E$10="","",B120))</f>
        <v>REMUNERACAO CARGO EM COMISSAO</v>
      </c>
      <c r="F120" s="146" t="str">
        <f>IF(C120="","",IF(Simulador!$E$10="","",C120))</f>
        <v/>
      </c>
    </row>
    <row r="121" spans="2:6" x14ac:dyDescent="0.25">
      <c r="B121" s="138" t="s">
        <v>271</v>
      </c>
      <c r="C121" s="138"/>
      <c r="D121" s="145"/>
      <c r="E121" s="146" t="str">
        <f>IF(B121="","",IF(Simulador!$E$10="","",B121))</f>
        <v>SALARIO ESPOSA</v>
      </c>
      <c r="F121" s="146" t="str">
        <f>IF(C121="","",IF(Simulador!$E$10="","",C121))</f>
        <v/>
      </c>
    </row>
    <row r="122" spans="2:6" x14ac:dyDescent="0.25">
      <c r="B122" s="138" t="s">
        <v>188</v>
      </c>
      <c r="C122" s="138"/>
      <c r="D122" s="145"/>
      <c r="E122" s="146" t="str">
        <f>IF(B122="","",IF(Simulador!$E$10="","",B122))</f>
        <v>SALARIO MUNIMO - JUD</v>
      </c>
      <c r="F122" s="146" t="str">
        <f>IF(C122="","",IF(Simulador!$E$10="","",C122))</f>
        <v/>
      </c>
    </row>
    <row r="123" spans="2:6" x14ac:dyDescent="0.25">
      <c r="B123" s="138" t="s">
        <v>142</v>
      </c>
      <c r="C123" s="138"/>
      <c r="D123" s="145"/>
      <c r="E123" s="146" t="str">
        <f>IF(B123="","",IF(Simulador!$E$10="","",B123))</f>
        <v>SEXTA PARTE</v>
      </c>
      <c r="F123" s="146" t="str">
        <f>IF(C123="","",IF(Simulador!$E$10="","",C123))</f>
        <v/>
      </c>
    </row>
    <row r="124" spans="2:6" x14ac:dyDescent="0.25">
      <c r="B124" s="138" t="s">
        <v>78</v>
      </c>
      <c r="C124" s="138"/>
      <c r="D124" s="145"/>
      <c r="E124" s="146" t="str">
        <f>IF(B124="","",IF(Simulador!$E$10="","",B124))</f>
        <v>SEXTA PARTE ACAO JUDICIAL</v>
      </c>
      <c r="F124" s="146" t="str">
        <f>IF(C124="","",IF(Simulador!$E$10="","",C124))</f>
        <v/>
      </c>
    </row>
    <row r="125" spans="2:6" x14ac:dyDescent="0.25">
      <c r="B125" s="138" t="s">
        <v>53</v>
      </c>
      <c r="C125" s="138"/>
      <c r="D125" s="145"/>
      <c r="E125" s="146" t="str">
        <f>IF(B125="","",IF(Simulador!$E$10="","",B125))</f>
        <v>SUBSIDIO</v>
      </c>
      <c r="F125" s="146" t="str">
        <f>IF(C125="","",IF(Simulador!$E$10="","",C125))</f>
        <v/>
      </c>
    </row>
    <row r="126" spans="2:6" x14ac:dyDescent="0.25">
      <c r="B126" s="138" t="s">
        <v>181</v>
      </c>
      <c r="C126" s="138"/>
      <c r="D126" s="145"/>
      <c r="E126" s="146" t="str">
        <f>IF(B126="","",IF(Simulador!$E$10="","",B126))</f>
        <v>SUBSIDIO ADMITIDO E CONTRATADO</v>
      </c>
      <c r="F126" s="146" t="str">
        <f>IF(C126="","",IF(Simulador!$E$10="","",C126))</f>
        <v/>
      </c>
    </row>
    <row r="127" spans="2:6" x14ac:dyDescent="0.25">
      <c r="B127" s="138" t="s">
        <v>118</v>
      </c>
      <c r="C127" s="138"/>
      <c r="D127" s="145"/>
      <c r="E127" s="146" t="str">
        <f>IF(B127="","",IF(Simulador!$E$10="","",B127))</f>
        <v>SUBSIDIO APOSENTADO</v>
      </c>
      <c r="F127" s="146" t="str">
        <f>IF(C127="","",IF(Simulador!$E$10="","",C127))</f>
        <v/>
      </c>
    </row>
    <row r="128" spans="2:6" x14ac:dyDescent="0.25">
      <c r="B128" s="138" t="s">
        <v>182</v>
      </c>
      <c r="C128" s="138"/>
      <c r="D128" s="145"/>
      <c r="E128" s="146" t="str">
        <f>IF(B128="","",IF(Simulador!$E$10="","",B128))</f>
        <v>SUBSIDIO COMPLEMENTAR</v>
      </c>
      <c r="F128" s="146" t="str">
        <f>IF(C128="","",IF(Simulador!$E$10="","",C128))</f>
        <v/>
      </c>
    </row>
    <row r="129" spans="2:6" x14ac:dyDescent="0.25">
      <c r="B129" s="138" t="s">
        <v>180</v>
      </c>
      <c r="C129" s="138"/>
      <c r="D129" s="145"/>
      <c r="E129" s="146" t="str">
        <f>IF(B129="","",IF(Simulador!$E$10="","",B129))</f>
        <v>SUBSIDIO EFETIVO</v>
      </c>
      <c r="F129" s="146" t="str">
        <f>IF(C129="","",IF(Simulador!$E$10="","",C129))</f>
        <v/>
      </c>
    </row>
    <row r="130" spans="2:6" x14ac:dyDescent="0.25">
      <c r="B130" s="138" t="s">
        <v>79</v>
      </c>
      <c r="C130" s="138"/>
      <c r="D130" s="145"/>
      <c r="E130" s="146" t="str">
        <f>IF(B130="","",IF(Simulador!$E$10="","",B130))</f>
        <v>TERCA PARTE/ACAO JUDICIAL</v>
      </c>
      <c r="F130" s="146" t="str">
        <f>IF(C130="","",IF(Simulador!$E$10="","",C130))</f>
        <v/>
      </c>
    </row>
    <row r="131" spans="2:6" x14ac:dyDescent="0.25">
      <c r="B131" s="138" t="s">
        <v>276</v>
      </c>
      <c r="C131" s="138"/>
      <c r="D131" s="145"/>
      <c r="E131" s="146" t="str">
        <f>IF(B131="","",IF(Simulador!$E$10="","",B131))</f>
        <v>VALE ALIMENTACAO</v>
      </c>
      <c r="F131" s="146" t="str">
        <f>IF(C131="","",IF(Simulador!$E$10="","",C131))</f>
        <v/>
      </c>
    </row>
    <row r="132" spans="2:6" x14ac:dyDescent="0.25">
      <c r="B132" s="138" t="s">
        <v>119</v>
      </c>
      <c r="C132" s="138"/>
      <c r="D132" s="145"/>
      <c r="E132" s="146" t="str">
        <f>IF(B132="","",IF(Simulador!$E$10="","",B132))</f>
        <v>VALOR ACAO MEDIA APOSENTADO</v>
      </c>
      <c r="F132" s="146" t="str">
        <f>IF(C132="","",IF(Simulador!$E$10="","",C132))</f>
        <v/>
      </c>
    </row>
    <row r="133" spans="2:6" x14ac:dyDescent="0.25">
      <c r="B133" s="138" t="s">
        <v>88</v>
      </c>
      <c r="C133" s="138"/>
      <c r="D133" s="145"/>
      <c r="E133" s="146" t="str">
        <f>IF(B133="","",IF(Simulador!$E$10="","",B133))</f>
        <v>VALOR DOS PROVENTOS - MEDIA</v>
      </c>
      <c r="F133" s="146" t="str">
        <f>IF(C133="","",IF(Simulador!$E$10="","",C133))</f>
        <v/>
      </c>
    </row>
    <row r="134" spans="2:6" x14ac:dyDescent="0.25">
      <c r="B134" s="138" t="s">
        <v>154</v>
      </c>
      <c r="C134" s="138"/>
      <c r="D134" s="145"/>
      <c r="E134" s="146" t="str">
        <f>IF(B134="","",IF(Simulador!$E$10="","",B134))</f>
        <v>VANTAGEM DE ORDEM PESSOAL</v>
      </c>
      <c r="F134" s="146" t="str">
        <f>IF(C134="","",IF(Simulador!$E$10="","",C134))</f>
        <v/>
      </c>
    </row>
    <row r="135" spans="2:6" x14ac:dyDescent="0.25">
      <c r="B135" s="138" t="s">
        <v>151</v>
      </c>
      <c r="C135" s="138"/>
      <c r="D135" s="145"/>
      <c r="E135" s="146" t="str">
        <f>IF(B135="","",IF(Simulador!$E$10="","",B135))</f>
        <v>VANTAGEM DE ORDEM PESSOAL - ART 117/118</v>
      </c>
      <c r="F135" s="146" t="str">
        <f>IF(C135="","",IF(Simulador!$E$10="","",C135))</f>
        <v/>
      </c>
    </row>
    <row r="136" spans="2:6" x14ac:dyDescent="0.25">
      <c r="B136" s="138" t="s">
        <v>150</v>
      </c>
      <c r="C136" s="138"/>
      <c r="D136" s="145"/>
      <c r="E136" s="146" t="str">
        <f>IF(B136="","",IF(Simulador!$E$10="","",B136))</f>
        <v>VANTAGEM DE ORDEM PESSOAL - RDPE</v>
      </c>
      <c r="F136" s="146" t="str">
        <f>IF(C136="","",IF(Simulador!$E$10="","",C136))</f>
        <v/>
      </c>
    </row>
    <row r="137" spans="2:6" x14ac:dyDescent="0.25">
      <c r="B137" s="138" t="s">
        <v>86</v>
      </c>
      <c r="C137" s="138"/>
      <c r="D137" s="145"/>
      <c r="E137" s="146" t="str">
        <f>IF(B137="","",IF(Simulador!$E$10="","",B137))</f>
        <v>VANTAGEM ORDEM PESSOAL - LEI 11.231/92</v>
      </c>
      <c r="F137" s="146" t="str">
        <f>IF(C137="","",IF(Simulador!$E$10="","",C137))</f>
        <v/>
      </c>
    </row>
    <row r="138" spans="2:6" x14ac:dyDescent="0.25">
      <c r="B138" s="138" t="s">
        <v>149</v>
      </c>
      <c r="C138" s="138"/>
      <c r="D138" s="145"/>
      <c r="E138" s="146" t="str">
        <f>IF(B138="","",IF(Simulador!$E$10="","",B138))</f>
        <v>VERBA DE REPRESENTACAO - L 11511/94</v>
      </c>
      <c r="F138" s="146" t="str">
        <f>IF(C138="","",IF(Simulador!$E$10="","",C138))</f>
        <v/>
      </c>
    </row>
    <row r="139" spans="2:6" x14ac:dyDescent="0.25">
      <c r="B139" s="138" t="s">
        <v>176</v>
      </c>
      <c r="C139" s="138"/>
      <c r="D139" s="145"/>
      <c r="E139" s="146" t="str">
        <f>IF(B139="","",IF(Simulador!$E$10="","",B139))</f>
        <v>VOP - ART 4º LEI 15.567/2012</v>
      </c>
      <c r="F139" s="146" t="str">
        <f>IF(C139="","",IF(Simulador!$E$10="","",C139))</f>
        <v/>
      </c>
    </row>
    <row r="140" spans="2:6" x14ac:dyDescent="0.25">
      <c r="B140" s="138" t="s">
        <v>173</v>
      </c>
      <c r="C140" s="138"/>
      <c r="D140" s="145"/>
      <c r="E140" s="146" t="str">
        <f>IF(B140="","",IF(Simulador!$E$10="","",B140))</f>
        <v>VOP - LEI 16417/16</v>
      </c>
      <c r="F140" s="146" t="str">
        <f>IF(C140="","",IF(Simulador!$E$10="","",C140))</f>
        <v/>
      </c>
    </row>
    <row r="141" spans="2:6" x14ac:dyDescent="0.25">
      <c r="B141" s="138" t="s">
        <v>174</v>
      </c>
      <c r="C141" s="138"/>
      <c r="D141" s="145"/>
      <c r="E141" s="146" t="str">
        <f>IF(B141="","",IF(Simulador!$E$10="","",B141))</f>
        <v>VOP ART 44 - LEI 15.510/2011</v>
      </c>
      <c r="F141" s="146" t="str">
        <f>IF(C141="","",IF(Simulador!$E$10="","",C141))</f>
        <v/>
      </c>
    </row>
    <row r="142" spans="2:6" x14ac:dyDescent="0.25">
      <c r="B142" s="138" t="s">
        <v>164</v>
      </c>
      <c r="C142" s="138"/>
      <c r="D142" s="145"/>
      <c r="E142" s="146" t="str">
        <f>IF(B142="","",IF(Simulador!$E$10="","",B142))</f>
        <v>VOP ART 73 - LEI 14591/07</v>
      </c>
      <c r="F142" s="146" t="str">
        <f>IF(C142="","",IF(Simulador!$E$10="","",C142))</f>
        <v/>
      </c>
    </row>
    <row r="143" spans="2:6" x14ac:dyDescent="0.25">
      <c r="B143" s="138" t="s">
        <v>165</v>
      </c>
      <c r="C143" s="138"/>
      <c r="D143" s="145"/>
      <c r="E143" s="146" t="str">
        <f>IF(B143="","",IF(Simulador!$E$10="","",B143))</f>
        <v>VOP ART 73 - LEI 14712/08</v>
      </c>
      <c r="F143" s="146" t="str">
        <f>IF(C143="","",IF(Simulador!$E$10="","",C143))</f>
        <v/>
      </c>
    </row>
    <row r="144" spans="2:6" x14ac:dyDescent="0.25">
      <c r="B144" s="138" t="s">
        <v>166</v>
      </c>
      <c r="C144" s="138"/>
      <c r="D144" s="145"/>
      <c r="E144" s="146" t="str">
        <f>IF(B144="","",IF(Simulador!$E$10="","",B144))</f>
        <v>VOP ART 73 - LEI 14713/08</v>
      </c>
      <c r="F144" s="146" t="str">
        <f>IF(C144="","",IF(Simulador!$E$10="","",C144))</f>
        <v/>
      </c>
    </row>
    <row r="145" spans="2:6" x14ac:dyDescent="0.25">
      <c r="B145" s="138" t="s">
        <v>171</v>
      </c>
      <c r="C145" s="138"/>
      <c r="D145" s="145"/>
      <c r="E145" s="146" t="str">
        <f>IF(B145="","",IF(Simulador!$E$10="","",B145))</f>
        <v>VOP LEI 15.380/2011</v>
      </c>
      <c r="F145" s="146" t="str">
        <f>IF(C145="","",IF(Simulador!$E$10="","",C145))</f>
        <v/>
      </c>
    </row>
    <row r="146" spans="2:6" x14ac:dyDescent="0.25">
      <c r="B146" s="138" t="s">
        <v>184</v>
      </c>
      <c r="C146" s="138"/>
      <c r="D146" s="145"/>
      <c r="E146" s="146" t="str">
        <f>IF(B146="","",IF(Simulador!$E$10="","",B146))</f>
        <v>VOP QTG ART 37 LEI 16.239/15</v>
      </c>
      <c r="F146" s="146" t="str">
        <f>IF(C146="","",IF(Simulador!$E$10="","",C146))</f>
        <v/>
      </c>
    </row>
    <row r="147" spans="2:6" x14ac:dyDescent="0.25">
      <c r="B147" s="138" t="s">
        <v>163</v>
      </c>
      <c r="C147" s="138"/>
      <c r="D147" s="145"/>
      <c r="E147" s="146" t="str">
        <f>IF(B147="","",IF(Simulador!$E$10="","",B147))</f>
        <v>VOP RAIO X - LEI 14713/08</v>
      </c>
      <c r="F147" s="146" t="str">
        <f>IF(C147="","",IF(Simulador!$E$10="","",C147))</f>
        <v/>
      </c>
    </row>
    <row r="148" spans="2:6" x14ac:dyDescent="0.25">
      <c r="B148" s="138"/>
      <c r="C148" s="138"/>
      <c r="D148" s="145"/>
      <c r="E148" s="146" t="str">
        <f>IF(B148="","",IF(Simulador!$E$10="","",B148))</f>
        <v/>
      </c>
      <c r="F148" s="146" t="str">
        <f>IF(C148="","",IF(Simulador!$E$10="","",C148))</f>
        <v/>
      </c>
    </row>
    <row r="149" spans="2:6" x14ac:dyDescent="0.25">
      <c r="B149" s="138"/>
      <c r="C149" s="138"/>
      <c r="D149" s="145"/>
      <c r="E149" s="146" t="str">
        <f>IF(B149="","",IF(Simulador!$E$10="","",B149))</f>
        <v/>
      </c>
      <c r="F149" s="146" t="str">
        <f>IF(C149="","",IF(Simulador!$E$10="","",C149))</f>
        <v/>
      </c>
    </row>
    <row r="150" spans="2:6" x14ac:dyDescent="0.25">
      <c r="B150" s="138"/>
      <c r="C150" s="138"/>
      <c r="D150" s="145"/>
      <c r="E150" s="146" t="str">
        <f>IF(B150="","",IF(Simulador!$E$10="","",B150))</f>
        <v/>
      </c>
      <c r="F150" s="146" t="str">
        <f>IF(C150="","",IF(Simulador!$E$10="","",C150))</f>
        <v/>
      </c>
    </row>
    <row r="151" spans="2:6" x14ac:dyDescent="0.25">
      <c r="B151" s="138"/>
      <c r="C151" s="138"/>
      <c r="D151" s="145"/>
      <c r="E151" s="146" t="str">
        <f>IF(B151="","",IF(Simulador!$E$10="","",B151))</f>
        <v/>
      </c>
      <c r="F151" s="146" t="str">
        <f>IF(C151="","",IF(Simulador!$E$10="","",C151))</f>
        <v/>
      </c>
    </row>
    <row r="152" spans="2:6" x14ac:dyDescent="0.25">
      <c r="B152" s="138"/>
      <c r="C152" s="138"/>
      <c r="D152" s="145"/>
      <c r="E152" s="146" t="str">
        <f>IF(B152="","",IF(Simulador!$E$10="","",B152))</f>
        <v/>
      </c>
      <c r="F152" s="146" t="str">
        <f>IF(C152="","",IF(Simulador!$E$10="","",C152))</f>
        <v/>
      </c>
    </row>
    <row r="153" spans="2:6" x14ac:dyDescent="0.25">
      <c r="B153" s="138"/>
      <c r="C153" s="138"/>
      <c r="D153" s="145"/>
      <c r="E153" s="146" t="str">
        <f>IF(B153="","",IF(Simulador!$E$10="","",B153))</f>
        <v/>
      </c>
      <c r="F153" s="146" t="str">
        <f>IF(C153="","",IF(Simulador!$E$10="","",C153))</f>
        <v/>
      </c>
    </row>
    <row r="154" spans="2:6" x14ac:dyDescent="0.25">
      <c r="B154" s="138"/>
      <c r="C154" s="138"/>
      <c r="D154" s="145"/>
      <c r="E154" s="146" t="str">
        <f>IF(B154="","",IF(Simulador!$E$10="","",B154))</f>
        <v/>
      </c>
      <c r="F154" s="146" t="str">
        <f>IF(C154="","",IF(Simulador!$E$10="","",C154))</f>
        <v/>
      </c>
    </row>
  </sheetData>
  <sheetProtection algorithmName="SHA-512" hashValue="dEYUx60nneiFttJSgppPYBvvYXwqe4sVNrsVvvH0x8bAfcCUIag0IzvkHq96pKZIPjyT7jKamZ6/P5esBbalbw==" saltValue="CIXP7HSQHzn+UPCxvLLEew==" spinCount="100000" sheet="1" selectLockedCells="1"/>
  <autoFilter ref="A1:G98"/>
  <sortState ref="C2:D24">
    <sortCondition ref="C1"/>
  </sortState>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dimension ref="A1:XFC172"/>
  <sheetViews>
    <sheetView showGridLines="0" showRowColHeaders="0" workbookViewId="0">
      <selection activeCell="E1" sqref="E1"/>
    </sheetView>
  </sheetViews>
  <sheetFormatPr defaultColWidth="0" defaultRowHeight="15" x14ac:dyDescent="0.25"/>
  <cols>
    <col min="1" max="1" width="19.42578125" style="1" bestFit="1" customWidth="1"/>
    <col min="2" max="2" width="7" style="1" bestFit="1" customWidth="1"/>
    <col min="3" max="3" width="9.5703125" style="1" bestFit="1" customWidth="1"/>
    <col min="4" max="4" width="9.140625" style="2" bestFit="1" customWidth="1"/>
    <col min="5" max="5" width="42.28515625" style="217" bestFit="1" customWidth="1"/>
    <col min="6" max="6" width="27.7109375" customWidth="1"/>
    <col min="7" max="7" width="10.140625" style="3" customWidth="1"/>
    <col min="8" max="8" width="30.140625" style="3" customWidth="1"/>
    <col min="9" max="10" width="8.5703125" style="3" bestFit="1" customWidth="1"/>
    <col min="11" max="11" width="10.85546875" style="3" customWidth="1"/>
    <col min="12" max="12" width="10.5703125" style="3" customWidth="1"/>
    <col min="13" max="13" width="45.5703125" customWidth="1"/>
    <col min="14" max="14" width="11.85546875" style="148" bestFit="1" customWidth="1"/>
    <col min="15" max="15" width="50.140625" style="148" customWidth="1"/>
    <col min="16" max="16" width="2.42578125" customWidth="1"/>
    <col min="17" max="16383" width="9.140625" hidden="1"/>
    <col min="16384" max="16384" width="9.5703125" hidden="1" customWidth="1"/>
  </cols>
  <sheetData>
    <row r="1" spans="1:13" ht="16.5" x14ac:dyDescent="0.25">
      <c r="A1" s="294" t="s">
        <v>9</v>
      </c>
      <c r="B1" s="295"/>
      <c r="C1" s="295"/>
      <c r="D1" s="163"/>
      <c r="E1" s="164"/>
      <c r="F1" s="302" t="s">
        <v>0</v>
      </c>
      <c r="G1" s="164"/>
      <c r="H1" s="164"/>
      <c r="I1" s="165"/>
      <c r="J1" s="165"/>
      <c r="K1" s="165"/>
      <c r="L1" s="166"/>
      <c r="M1" s="298" t="s">
        <v>10</v>
      </c>
    </row>
    <row r="2" spans="1:13" ht="48.75" customHeight="1" x14ac:dyDescent="0.25">
      <c r="A2" s="296"/>
      <c r="B2" s="297"/>
      <c r="C2" s="297"/>
      <c r="D2" s="167"/>
      <c r="E2" s="149"/>
      <c r="F2" s="303"/>
      <c r="G2" s="168"/>
      <c r="H2" s="168"/>
      <c r="I2" s="299" t="s">
        <v>38</v>
      </c>
      <c r="J2" s="300"/>
      <c r="K2" s="301" t="s">
        <v>243</v>
      </c>
      <c r="L2" s="300"/>
      <c r="M2" s="297"/>
    </row>
    <row r="3" spans="1:13" ht="33.75" x14ac:dyDescent="0.25">
      <c r="A3" s="72">
        <v>0</v>
      </c>
      <c r="B3" s="72">
        <v>0</v>
      </c>
      <c r="C3" s="73" t="s">
        <v>11</v>
      </c>
      <c r="D3" s="170" t="s">
        <v>1</v>
      </c>
      <c r="E3" s="171" t="s">
        <v>2</v>
      </c>
      <c r="F3" s="172" t="s">
        <v>3</v>
      </c>
      <c r="G3" s="173" t="s">
        <v>4</v>
      </c>
      <c r="H3" s="174" t="s">
        <v>19</v>
      </c>
      <c r="I3" s="151">
        <v>0.3</v>
      </c>
      <c r="J3" s="151">
        <v>0.35</v>
      </c>
      <c r="K3" s="151">
        <v>0.3</v>
      </c>
      <c r="L3" s="151">
        <v>0.35</v>
      </c>
      <c r="M3" s="83" t="s">
        <v>3</v>
      </c>
    </row>
    <row r="4" spans="1:13" ht="22.5" x14ac:dyDescent="0.25">
      <c r="A4" s="74">
        <f>IF(ISERROR(SEARCH(Simulador!$Q$5,E4)),0,1)</f>
        <v>1</v>
      </c>
      <c r="B4" s="74">
        <f>IF(A4=0,B2,A4+B2)</f>
        <v>1</v>
      </c>
      <c r="C4" s="75">
        <f t="shared" ref="C4:C24" si="0">IF(A4=0,0,B4)</f>
        <v>1</v>
      </c>
      <c r="D4" s="106" t="str">
        <f>TEXT(1,"00")</f>
        <v>01</v>
      </c>
      <c r="E4" s="107" t="s">
        <v>66</v>
      </c>
      <c r="F4" s="107" t="s">
        <v>42</v>
      </c>
      <c r="G4" s="150">
        <v>999</v>
      </c>
      <c r="H4" s="169" t="s">
        <v>191</v>
      </c>
      <c r="I4" s="108" t="s">
        <v>20</v>
      </c>
      <c r="J4" s="108" t="s">
        <v>20</v>
      </c>
      <c r="K4" s="108" t="s">
        <v>13</v>
      </c>
      <c r="L4" s="108" t="s">
        <v>13</v>
      </c>
      <c r="M4" s="200" t="str">
        <f t="shared" ref="M4:M67" si="1">IF(I4="Sim",F4&amp;" - Entra no Cálculo da Margem",IF(K4="Sim",F4&amp;" - Entra no Cálculo da Margem para aposentado e pensionista",F4&amp;" - Não entra no Cálculo da Margem"))</f>
        <v>Verba Variavel - Entra no Cálculo da Margem para aposentado e pensionista</v>
      </c>
    </row>
    <row r="5" spans="1:13" x14ac:dyDescent="0.25">
      <c r="A5" s="74">
        <f>IF(ISERROR(SEARCH(Simulador!$Q$5,E5)),0,1)</f>
        <v>1</v>
      </c>
      <c r="B5" s="74">
        <f t="shared" ref="B5:B24" si="2">IF(A5=0,B4,A5+B4)</f>
        <v>2</v>
      </c>
      <c r="C5" s="75">
        <f t="shared" si="0"/>
        <v>2</v>
      </c>
      <c r="D5" s="106" t="str">
        <f t="shared" ref="D5:D69" si="3">TEXT(D4+1,"00")</f>
        <v>02</v>
      </c>
      <c r="E5" s="107" t="s">
        <v>267</v>
      </c>
      <c r="F5" s="107" t="s">
        <v>42</v>
      </c>
      <c r="G5" s="150">
        <v>999</v>
      </c>
      <c r="H5" s="218" t="s">
        <v>22</v>
      </c>
      <c r="I5" s="108" t="s">
        <v>20</v>
      </c>
      <c r="J5" s="108" t="s">
        <v>20</v>
      </c>
      <c r="K5" s="108" t="s">
        <v>20</v>
      </c>
      <c r="L5" s="108" t="s">
        <v>20</v>
      </c>
      <c r="M5" s="200" t="str">
        <f t="shared" si="1"/>
        <v>Verba Variavel - Não entra no Cálculo da Margem</v>
      </c>
    </row>
    <row r="6" spans="1:13" x14ac:dyDescent="0.25">
      <c r="A6" s="74">
        <f>IF(ISERROR(SEARCH(Simulador!$Q$5,E6)),0,1)</f>
        <v>1</v>
      </c>
      <c r="B6" s="74">
        <f t="shared" si="2"/>
        <v>3</v>
      </c>
      <c r="C6" s="75">
        <f t="shared" si="0"/>
        <v>3</v>
      </c>
      <c r="D6" s="106" t="str">
        <f t="shared" si="3"/>
        <v>03</v>
      </c>
      <c r="E6" s="107" t="s">
        <v>267</v>
      </c>
      <c r="F6" s="107" t="s">
        <v>54</v>
      </c>
      <c r="G6" s="150">
        <v>999</v>
      </c>
      <c r="H6" s="218" t="s">
        <v>22</v>
      </c>
      <c r="I6" s="150" t="s">
        <v>20</v>
      </c>
      <c r="J6" s="108" t="s">
        <v>20</v>
      </c>
      <c r="K6" s="108" t="s">
        <v>20</v>
      </c>
      <c r="L6" s="108" t="s">
        <v>20</v>
      </c>
      <c r="M6" s="200" t="str">
        <f t="shared" si="1"/>
        <v>Desconto - Não entra no Cálculo da Margem</v>
      </c>
    </row>
    <row r="7" spans="1:13" ht="34.5" x14ac:dyDescent="0.25">
      <c r="A7" s="74">
        <f>IF(ISERROR(SEARCH(Simulador!$Q$5,E7)),0,1)</f>
        <v>1</v>
      </c>
      <c r="B7" s="74">
        <f t="shared" si="2"/>
        <v>4</v>
      </c>
      <c r="C7" s="75">
        <f t="shared" si="0"/>
        <v>4</v>
      </c>
      <c r="D7" s="106" t="str">
        <f t="shared" si="3"/>
        <v>04</v>
      </c>
      <c r="E7" s="107" t="s">
        <v>143</v>
      </c>
      <c r="F7" s="107" t="s">
        <v>42</v>
      </c>
      <c r="G7" s="150">
        <v>999</v>
      </c>
      <c r="H7" s="169" t="s">
        <v>196</v>
      </c>
      <c r="I7" s="150" t="s">
        <v>20</v>
      </c>
      <c r="J7" s="108" t="s">
        <v>20</v>
      </c>
      <c r="K7" s="108" t="s">
        <v>13</v>
      </c>
      <c r="L7" s="108" t="s">
        <v>13</v>
      </c>
      <c r="M7" s="200" t="str">
        <f t="shared" si="1"/>
        <v>Verba Variavel - Entra no Cálculo da Margem para aposentado e pensionista</v>
      </c>
    </row>
    <row r="8" spans="1:13" ht="51" x14ac:dyDescent="0.25">
      <c r="A8" s="74">
        <f>IF(ISERROR(SEARCH(Simulador!$Q$5,E8)),0,1)</f>
        <v>1</v>
      </c>
      <c r="B8" s="74">
        <f t="shared" si="2"/>
        <v>5</v>
      </c>
      <c r="C8" s="75">
        <f t="shared" si="0"/>
        <v>5</v>
      </c>
      <c r="D8" s="106" t="str">
        <f t="shared" si="3"/>
        <v>05</v>
      </c>
      <c r="E8" s="107" t="s">
        <v>156</v>
      </c>
      <c r="F8" s="107" t="s">
        <v>44</v>
      </c>
      <c r="G8" s="150">
        <v>999</v>
      </c>
      <c r="H8" s="169" t="s">
        <v>204</v>
      </c>
      <c r="I8" s="150" t="s">
        <v>13</v>
      </c>
      <c r="J8" s="108" t="s">
        <v>13</v>
      </c>
      <c r="K8" s="108" t="s">
        <v>13</v>
      </c>
      <c r="L8" s="108" t="s">
        <v>13</v>
      </c>
      <c r="M8" s="200" t="str">
        <f t="shared" si="1"/>
        <v>Verba Fixa - Entra no Cálculo da Margem</v>
      </c>
    </row>
    <row r="9" spans="1:13" ht="22.5" x14ac:dyDescent="0.25">
      <c r="A9" s="74">
        <f>IF(ISERROR(SEARCH(Simulador!$Q$5,E9)),0,1)</f>
        <v>1</v>
      </c>
      <c r="B9" s="74">
        <f>IF(A9=0,B8,A9+B8)</f>
        <v>6</v>
      </c>
      <c r="C9" s="75">
        <f t="shared" si="0"/>
        <v>6</v>
      </c>
      <c r="D9" s="106" t="str">
        <f>TEXT(D8+1,"00")</f>
        <v>06</v>
      </c>
      <c r="E9" s="107" t="s">
        <v>59</v>
      </c>
      <c r="F9" s="107" t="s">
        <v>42</v>
      </c>
      <c r="G9" s="150">
        <v>999</v>
      </c>
      <c r="H9" s="169" t="s">
        <v>191</v>
      </c>
      <c r="I9" s="108" t="s">
        <v>20</v>
      </c>
      <c r="J9" s="108" t="s">
        <v>20</v>
      </c>
      <c r="K9" s="108" t="s">
        <v>13</v>
      </c>
      <c r="L9" s="108" t="s">
        <v>13</v>
      </c>
      <c r="M9" s="200" t="str">
        <f t="shared" si="1"/>
        <v>Verba Variavel - Entra no Cálculo da Margem para aposentado e pensionista</v>
      </c>
    </row>
    <row r="10" spans="1:13" ht="22.5" x14ac:dyDescent="0.25">
      <c r="A10" s="74">
        <f>IF(ISERROR(SEARCH(Simulador!$Q$5,E10)),0,1)</f>
        <v>1</v>
      </c>
      <c r="B10" s="74">
        <f t="shared" si="2"/>
        <v>7</v>
      </c>
      <c r="C10" s="75">
        <f t="shared" si="0"/>
        <v>7</v>
      </c>
      <c r="D10" s="106" t="str">
        <f t="shared" si="3"/>
        <v>07</v>
      </c>
      <c r="E10" s="107" t="s">
        <v>58</v>
      </c>
      <c r="F10" s="107" t="s">
        <v>42</v>
      </c>
      <c r="G10" s="150">
        <v>999</v>
      </c>
      <c r="H10" s="169" t="s">
        <v>191</v>
      </c>
      <c r="I10" s="108" t="s">
        <v>20</v>
      </c>
      <c r="J10" s="108" t="s">
        <v>20</v>
      </c>
      <c r="K10" s="108" t="s">
        <v>13</v>
      </c>
      <c r="L10" s="108" t="s">
        <v>13</v>
      </c>
      <c r="M10" s="200" t="str">
        <f t="shared" si="1"/>
        <v>Verba Variavel - Entra no Cálculo da Margem para aposentado e pensionista</v>
      </c>
    </row>
    <row r="11" spans="1:13" ht="22.5" x14ac:dyDescent="0.25">
      <c r="A11" s="74">
        <f>IF(ISERROR(SEARCH(Simulador!$Q$5,E11)),0,1)</f>
        <v>1</v>
      </c>
      <c r="B11" s="74">
        <f t="shared" si="2"/>
        <v>8</v>
      </c>
      <c r="C11" s="75">
        <f t="shared" si="0"/>
        <v>8</v>
      </c>
      <c r="D11" s="106" t="str">
        <f t="shared" si="3"/>
        <v>08</v>
      </c>
      <c r="E11" s="107" t="s">
        <v>126</v>
      </c>
      <c r="F11" s="107" t="s">
        <v>42</v>
      </c>
      <c r="G11" s="150">
        <v>999</v>
      </c>
      <c r="H11" s="169" t="s">
        <v>191</v>
      </c>
      <c r="I11" s="108" t="s">
        <v>20</v>
      </c>
      <c r="J11" s="108" t="s">
        <v>20</v>
      </c>
      <c r="K11" s="108" t="s">
        <v>13</v>
      </c>
      <c r="L11" s="108" t="s">
        <v>13</v>
      </c>
      <c r="M11" s="200" t="str">
        <f t="shared" si="1"/>
        <v>Verba Variavel - Entra no Cálculo da Margem para aposentado e pensionista</v>
      </c>
    </row>
    <row r="12" spans="1:13" ht="22.5" x14ac:dyDescent="0.25">
      <c r="A12" s="74">
        <f>IF(ISERROR(SEARCH(Simulador!$Q$5,E12)),0,1)</f>
        <v>1</v>
      </c>
      <c r="B12" s="74">
        <f t="shared" si="2"/>
        <v>9</v>
      </c>
      <c r="C12" s="75">
        <f t="shared" si="0"/>
        <v>9</v>
      </c>
      <c r="D12" s="106" t="str">
        <f t="shared" si="3"/>
        <v>09</v>
      </c>
      <c r="E12" s="107" t="s">
        <v>75</v>
      </c>
      <c r="F12" s="107" t="s">
        <v>42</v>
      </c>
      <c r="G12" s="150">
        <v>999</v>
      </c>
      <c r="H12" s="169" t="s">
        <v>191</v>
      </c>
      <c r="I12" s="108" t="s">
        <v>20</v>
      </c>
      <c r="J12" s="108" t="s">
        <v>20</v>
      </c>
      <c r="K12" s="108" t="s">
        <v>13</v>
      </c>
      <c r="L12" s="108" t="s">
        <v>13</v>
      </c>
      <c r="M12" s="200" t="str">
        <f t="shared" si="1"/>
        <v>Verba Variavel - Entra no Cálculo da Margem para aposentado e pensionista</v>
      </c>
    </row>
    <row r="13" spans="1:13" ht="22.5" x14ac:dyDescent="0.25">
      <c r="A13" s="74">
        <f>IF(ISERROR(SEARCH(Simulador!$Q$5,E13)),0,1)</f>
        <v>1</v>
      </c>
      <c r="B13" s="74">
        <f t="shared" si="2"/>
        <v>10</v>
      </c>
      <c r="C13" s="75">
        <f t="shared" si="0"/>
        <v>10</v>
      </c>
      <c r="D13" s="106" t="str">
        <f t="shared" si="3"/>
        <v>10</v>
      </c>
      <c r="E13" s="107" t="s">
        <v>177</v>
      </c>
      <c r="F13" s="107" t="s">
        <v>42</v>
      </c>
      <c r="G13" s="150">
        <v>999</v>
      </c>
      <c r="H13" s="218" t="s">
        <v>210</v>
      </c>
      <c r="I13" s="150" t="s">
        <v>20</v>
      </c>
      <c r="J13" s="108" t="s">
        <v>20</v>
      </c>
      <c r="K13" s="108" t="s">
        <v>13</v>
      </c>
      <c r="L13" s="108" t="s">
        <v>13</v>
      </c>
      <c r="M13" s="200" t="str">
        <f t="shared" si="1"/>
        <v>Verba Variavel - Entra no Cálculo da Margem para aposentado e pensionista</v>
      </c>
    </row>
    <row r="14" spans="1:13" ht="42.75" x14ac:dyDescent="0.25">
      <c r="A14" s="74">
        <f>IF(ISERROR(SEARCH(Simulador!$Q$5,E14)),0,1)</f>
        <v>1</v>
      </c>
      <c r="B14" s="74">
        <f t="shared" si="2"/>
        <v>11</v>
      </c>
      <c r="C14" s="75">
        <f t="shared" si="0"/>
        <v>11</v>
      </c>
      <c r="D14" s="106" t="str">
        <f t="shared" si="3"/>
        <v>11</v>
      </c>
      <c r="E14" s="107" t="s">
        <v>277</v>
      </c>
      <c r="F14" s="107" t="s">
        <v>44</v>
      </c>
      <c r="G14" s="150">
        <v>999</v>
      </c>
      <c r="H14" s="169" t="s">
        <v>278</v>
      </c>
      <c r="I14" s="108" t="s">
        <v>13</v>
      </c>
      <c r="J14" s="108" t="s">
        <v>13</v>
      </c>
      <c r="K14" s="108" t="s">
        <v>13</v>
      </c>
      <c r="L14" s="108" t="s">
        <v>13</v>
      </c>
      <c r="M14" s="200" t="str">
        <f t="shared" si="1"/>
        <v>Verba Fixa - Entra no Cálculo da Margem</v>
      </c>
    </row>
    <row r="15" spans="1:13" ht="42.75" x14ac:dyDescent="0.25">
      <c r="A15" s="74">
        <f>IF(ISERROR(SEARCH(Simulador!$Q$5,E15)),0,1)</f>
        <v>1</v>
      </c>
      <c r="B15" s="74">
        <f t="shared" si="2"/>
        <v>12</v>
      </c>
      <c r="C15" s="75">
        <f t="shared" si="0"/>
        <v>12</v>
      </c>
      <c r="D15" s="106" t="str">
        <f t="shared" si="3"/>
        <v>12</v>
      </c>
      <c r="E15" s="107" t="s">
        <v>284</v>
      </c>
      <c r="F15" s="107" t="s">
        <v>42</v>
      </c>
      <c r="G15" s="150">
        <v>999</v>
      </c>
      <c r="H15" s="218" t="s">
        <v>286</v>
      </c>
      <c r="I15" s="108" t="s">
        <v>20</v>
      </c>
      <c r="J15" s="108" t="s">
        <v>20</v>
      </c>
      <c r="K15" s="108" t="s">
        <v>20</v>
      </c>
      <c r="L15" s="108" t="s">
        <v>20</v>
      </c>
      <c r="M15" s="200" t="str">
        <f t="shared" si="1"/>
        <v>Verba Variavel - Não entra no Cálculo da Margem</v>
      </c>
    </row>
    <row r="16" spans="1:13" x14ac:dyDescent="0.25">
      <c r="A16" s="74">
        <f>IF(ISERROR(SEARCH(Simulador!$Q$5,E16)),0,1)</f>
        <v>1</v>
      </c>
      <c r="B16" s="74">
        <f t="shared" si="2"/>
        <v>13</v>
      </c>
      <c r="C16" s="75">
        <f t="shared" si="0"/>
        <v>13</v>
      </c>
      <c r="D16" s="106" t="str">
        <f t="shared" si="3"/>
        <v>13</v>
      </c>
      <c r="E16" s="107" t="s">
        <v>172</v>
      </c>
      <c r="F16" s="107" t="s">
        <v>44</v>
      </c>
      <c r="G16" s="150">
        <v>999</v>
      </c>
      <c r="H16" s="169" t="s">
        <v>208</v>
      </c>
      <c r="I16" s="108" t="s">
        <v>13</v>
      </c>
      <c r="J16" s="108" t="s">
        <v>13</v>
      </c>
      <c r="K16" s="108" t="s">
        <v>13</v>
      </c>
      <c r="L16" s="108" t="s">
        <v>13</v>
      </c>
      <c r="M16" s="200" t="str">
        <f t="shared" si="1"/>
        <v>Verba Fixa - Entra no Cálculo da Margem</v>
      </c>
    </row>
    <row r="17" spans="1:13" ht="34.5" x14ac:dyDescent="0.25">
      <c r="A17" s="74">
        <f>IF(ISERROR(SEARCH(Simulador!$Q$5,E17)),0,1)</f>
        <v>1</v>
      </c>
      <c r="B17" s="74">
        <f t="shared" si="2"/>
        <v>14</v>
      </c>
      <c r="C17" s="75">
        <f t="shared" si="0"/>
        <v>14</v>
      </c>
      <c r="D17" s="106" t="str">
        <f t="shared" si="3"/>
        <v>14</v>
      </c>
      <c r="E17" s="107" t="s">
        <v>179</v>
      </c>
      <c r="F17" s="107" t="s">
        <v>44</v>
      </c>
      <c r="G17" s="150">
        <v>999</v>
      </c>
      <c r="H17" s="218" t="s">
        <v>209</v>
      </c>
      <c r="I17" s="108" t="s">
        <v>13</v>
      </c>
      <c r="J17" s="108" t="s">
        <v>13</v>
      </c>
      <c r="K17" s="108" t="s">
        <v>13</v>
      </c>
      <c r="L17" s="108" t="s">
        <v>13</v>
      </c>
      <c r="M17" s="200" t="str">
        <f t="shared" si="1"/>
        <v>Verba Fixa - Entra no Cálculo da Margem</v>
      </c>
    </row>
    <row r="18" spans="1:13" ht="34.5" x14ac:dyDescent="0.25">
      <c r="A18" s="74">
        <f>IF(ISERROR(SEARCH(Simulador!$Q$5,E18)),0,1)</f>
        <v>1</v>
      </c>
      <c r="B18" s="74">
        <f t="shared" si="2"/>
        <v>15</v>
      </c>
      <c r="C18" s="75">
        <f t="shared" si="0"/>
        <v>15</v>
      </c>
      <c r="D18" s="106" t="str">
        <f t="shared" si="3"/>
        <v>15</v>
      </c>
      <c r="E18" s="107" t="s">
        <v>175</v>
      </c>
      <c r="F18" s="107" t="s">
        <v>42</v>
      </c>
      <c r="G18" s="150">
        <v>999</v>
      </c>
      <c r="H18" s="169" t="s">
        <v>196</v>
      </c>
      <c r="I18" s="108" t="s">
        <v>20</v>
      </c>
      <c r="J18" s="108" t="s">
        <v>20</v>
      </c>
      <c r="K18" s="108" t="s">
        <v>13</v>
      </c>
      <c r="L18" s="108" t="s">
        <v>13</v>
      </c>
      <c r="M18" s="200" t="str">
        <f t="shared" si="1"/>
        <v>Verba Variavel - Entra no Cálculo da Margem para aposentado e pensionista</v>
      </c>
    </row>
    <row r="19" spans="1:13" x14ac:dyDescent="0.25">
      <c r="A19" s="74">
        <f>IF(ISERROR(SEARCH(Simulador!$Q$5,E19)),0,1)</f>
        <v>1</v>
      </c>
      <c r="B19" s="74">
        <f t="shared" si="2"/>
        <v>16</v>
      </c>
      <c r="C19" s="75">
        <f t="shared" si="0"/>
        <v>16</v>
      </c>
      <c r="D19" s="106" t="str">
        <f t="shared" si="3"/>
        <v>16</v>
      </c>
      <c r="E19" s="107" t="s">
        <v>169</v>
      </c>
      <c r="F19" s="107" t="s">
        <v>42</v>
      </c>
      <c r="G19" s="150">
        <v>999</v>
      </c>
      <c r="H19" s="169" t="s">
        <v>196</v>
      </c>
      <c r="I19" s="108" t="s">
        <v>20</v>
      </c>
      <c r="J19" s="108" t="s">
        <v>20</v>
      </c>
      <c r="K19" s="108" t="s">
        <v>13</v>
      </c>
      <c r="L19" s="108" t="s">
        <v>13</v>
      </c>
      <c r="M19" s="200" t="str">
        <f t="shared" si="1"/>
        <v>Verba Variavel - Entra no Cálculo da Margem para aposentado e pensionista</v>
      </c>
    </row>
    <row r="20" spans="1:13" ht="22.5" x14ac:dyDescent="0.25">
      <c r="A20" s="74">
        <f>IF(ISERROR(SEARCH(Simulador!$Q$5,E20)),0,1)</f>
        <v>1</v>
      </c>
      <c r="B20" s="74">
        <f t="shared" si="2"/>
        <v>17</v>
      </c>
      <c r="C20" s="75">
        <f t="shared" si="0"/>
        <v>17</v>
      </c>
      <c r="D20" s="106" t="str">
        <f t="shared" si="3"/>
        <v>17</v>
      </c>
      <c r="E20" s="107" t="s">
        <v>275</v>
      </c>
      <c r="F20" s="107" t="s">
        <v>42</v>
      </c>
      <c r="G20" s="150">
        <v>999</v>
      </c>
      <c r="H20" s="169" t="s">
        <v>270</v>
      </c>
      <c r="I20" s="108" t="s">
        <v>20</v>
      </c>
      <c r="J20" s="108" t="s">
        <v>20</v>
      </c>
      <c r="K20" s="108" t="s">
        <v>20</v>
      </c>
      <c r="L20" s="108" t="s">
        <v>20</v>
      </c>
      <c r="M20" s="200" t="str">
        <f t="shared" si="1"/>
        <v>Verba Variavel - Não entra no Cálculo da Margem</v>
      </c>
    </row>
    <row r="21" spans="1:13" ht="18" x14ac:dyDescent="0.25">
      <c r="A21" s="74">
        <f>IF(ISERROR(SEARCH(Simulador!$Q$5,E21)),0,1)</f>
        <v>1</v>
      </c>
      <c r="B21" s="74">
        <f t="shared" si="2"/>
        <v>18</v>
      </c>
      <c r="C21" s="75">
        <f t="shared" si="0"/>
        <v>18</v>
      </c>
      <c r="D21" s="106" t="str">
        <f t="shared" si="3"/>
        <v>18</v>
      </c>
      <c r="E21" s="107" t="s">
        <v>60</v>
      </c>
      <c r="F21" s="107" t="s">
        <v>42</v>
      </c>
      <c r="G21" s="150">
        <v>999</v>
      </c>
      <c r="H21" s="169" t="s">
        <v>191</v>
      </c>
      <c r="I21" s="108" t="s">
        <v>20</v>
      </c>
      <c r="J21" s="108" t="s">
        <v>20</v>
      </c>
      <c r="K21" s="108" t="s">
        <v>13</v>
      </c>
      <c r="L21" s="108" t="s">
        <v>13</v>
      </c>
      <c r="M21" s="200" t="str">
        <f t="shared" si="1"/>
        <v>Verba Variavel - Entra no Cálculo da Margem para aposentado e pensionista</v>
      </c>
    </row>
    <row r="22" spans="1:13" ht="18" x14ac:dyDescent="0.25">
      <c r="A22" s="74">
        <f>IF(ISERROR(SEARCH(Simulador!$Q$5,E22)),0,1)</f>
        <v>1</v>
      </c>
      <c r="B22" s="74">
        <f t="shared" si="2"/>
        <v>19</v>
      </c>
      <c r="C22" s="75">
        <f t="shared" si="0"/>
        <v>19</v>
      </c>
      <c r="D22" s="106" t="str">
        <f t="shared" si="3"/>
        <v>19</v>
      </c>
      <c r="E22" s="107" t="s">
        <v>134</v>
      </c>
      <c r="F22" s="107" t="s">
        <v>44</v>
      </c>
      <c r="G22" s="150">
        <v>999</v>
      </c>
      <c r="H22" s="169" t="s">
        <v>190</v>
      </c>
      <c r="I22" s="108" t="s">
        <v>13</v>
      </c>
      <c r="J22" s="108" t="s">
        <v>13</v>
      </c>
      <c r="K22" s="108" t="s">
        <v>13</v>
      </c>
      <c r="L22" s="108" t="s">
        <v>13</v>
      </c>
      <c r="M22" s="200" t="str">
        <f t="shared" si="1"/>
        <v>Verba Fixa - Entra no Cálculo da Margem</v>
      </c>
    </row>
    <row r="23" spans="1:13" ht="18" x14ac:dyDescent="0.25">
      <c r="A23" s="74">
        <f>IF(ISERROR(SEARCH(Simulador!$Q$5,E23)),0,1)</f>
        <v>1</v>
      </c>
      <c r="B23" s="74">
        <f t="shared" si="2"/>
        <v>20</v>
      </c>
      <c r="C23" s="75">
        <f t="shared" si="0"/>
        <v>20</v>
      </c>
      <c r="D23" s="106" t="str">
        <f t="shared" si="3"/>
        <v>20</v>
      </c>
      <c r="E23" s="107" t="s">
        <v>135</v>
      </c>
      <c r="F23" s="107" t="s">
        <v>44</v>
      </c>
      <c r="G23" s="150">
        <v>999</v>
      </c>
      <c r="H23" s="169" t="s">
        <v>190</v>
      </c>
      <c r="I23" s="108" t="s">
        <v>13</v>
      </c>
      <c r="J23" s="108" t="s">
        <v>13</v>
      </c>
      <c r="K23" s="108" t="s">
        <v>13</v>
      </c>
      <c r="L23" s="108" t="s">
        <v>13</v>
      </c>
      <c r="M23" s="200" t="str">
        <f t="shared" si="1"/>
        <v>Verba Fixa - Entra no Cálculo da Margem</v>
      </c>
    </row>
    <row r="24" spans="1:13" ht="18" x14ac:dyDescent="0.25">
      <c r="A24" s="74">
        <f>IF(ISERROR(SEARCH(Simulador!$Q$5,E24)),0,1)</f>
        <v>1</v>
      </c>
      <c r="B24" s="74">
        <f t="shared" si="2"/>
        <v>21</v>
      </c>
      <c r="C24" s="75">
        <f t="shared" si="0"/>
        <v>21</v>
      </c>
      <c r="D24" s="106" t="str">
        <f t="shared" si="3"/>
        <v>21</v>
      </c>
      <c r="E24" s="107" t="s">
        <v>136</v>
      </c>
      <c r="F24" s="107" t="s">
        <v>44</v>
      </c>
      <c r="G24" s="150">
        <v>999</v>
      </c>
      <c r="H24" s="169" t="s">
        <v>190</v>
      </c>
      <c r="I24" s="108" t="s">
        <v>13</v>
      </c>
      <c r="J24" s="108" t="s">
        <v>13</v>
      </c>
      <c r="K24" s="108" t="s">
        <v>13</v>
      </c>
      <c r="L24" s="108" t="s">
        <v>13</v>
      </c>
      <c r="M24" s="200" t="str">
        <f t="shared" si="1"/>
        <v>Verba Fixa - Entra no Cálculo da Margem</v>
      </c>
    </row>
    <row r="25" spans="1:13" ht="18" x14ac:dyDescent="0.25">
      <c r="A25" s="74">
        <f>IF(ISERROR(SEARCH(Simulador!$Q$5,E25)),0,1)</f>
        <v>1</v>
      </c>
      <c r="B25" s="74">
        <f t="shared" ref="B25" si="4">IF(A25=0,B24,A25+B24)</f>
        <v>22</v>
      </c>
      <c r="C25" s="75">
        <f t="shared" ref="C25" si="5">IF(A25=0,0,B25)</f>
        <v>22</v>
      </c>
      <c r="D25" s="106" t="str">
        <f t="shared" si="3"/>
        <v>22</v>
      </c>
      <c r="E25" s="107" t="s">
        <v>137</v>
      </c>
      <c r="F25" s="107" t="s">
        <v>44</v>
      </c>
      <c r="G25" s="150">
        <v>999</v>
      </c>
      <c r="H25" s="169" t="s">
        <v>190</v>
      </c>
      <c r="I25" s="108" t="s">
        <v>13</v>
      </c>
      <c r="J25" s="108" t="s">
        <v>13</v>
      </c>
      <c r="K25" s="108" t="s">
        <v>13</v>
      </c>
      <c r="L25" s="108" t="s">
        <v>13</v>
      </c>
      <c r="M25" s="200" t="str">
        <f t="shared" si="1"/>
        <v>Verba Fixa - Entra no Cálculo da Margem</v>
      </c>
    </row>
    <row r="26" spans="1:13" ht="18" x14ac:dyDescent="0.25">
      <c r="A26" s="74">
        <f>IF(ISERROR(SEARCH(Simulador!$Q$5,E26)),0,1)</f>
        <v>1</v>
      </c>
      <c r="B26" s="74">
        <f t="shared" ref="B26:B68" si="6">IF(A26=0,B25,A26+B25)</f>
        <v>23</v>
      </c>
      <c r="C26" s="75">
        <f t="shared" ref="C26:C68" si="7">IF(A26=0,0,B26)</f>
        <v>23</v>
      </c>
      <c r="D26" s="106" t="str">
        <f t="shared" si="3"/>
        <v>23</v>
      </c>
      <c r="E26" s="107" t="s">
        <v>138</v>
      </c>
      <c r="F26" s="107" t="s">
        <v>44</v>
      </c>
      <c r="G26" s="150">
        <v>999</v>
      </c>
      <c r="H26" s="169" t="s">
        <v>190</v>
      </c>
      <c r="I26" s="108" t="s">
        <v>13</v>
      </c>
      <c r="J26" s="108" t="s">
        <v>13</v>
      </c>
      <c r="K26" s="108" t="s">
        <v>13</v>
      </c>
      <c r="L26" s="108" t="s">
        <v>13</v>
      </c>
      <c r="M26" s="200" t="str">
        <f t="shared" si="1"/>
        <v>Verba Fixa - Entra no Cálculo da Margem</v>
      </c>
    </row>
    <row r="27" spans="1:13" ht="18" x14ac:dyDescent="0.25">
      <c r="A27" s="74">
        <f>IF(ISERROR(SEARCH(Simulador!$Q$5,E27)),0,1)</f>
        <v>1</v>
      </c>
      <c r="B27" s="74">
        <f t="shared" si="6"/>
        <v>24</v>
      </c>
      <c r="C27" s="75">
        <f t="shared" si="7"/>
        <v>24</v>
      </c>
      <c r="D27" s="106" t="str">
        <f t="shared" si="3"/>
        <v>24</v>
      </c>
      <c r="E27" s="107" t="s">
        <v>139</v>
      </c>
      <c r="F27" s="107" t="s">
        <v>44</v>
      </c>
      <c r="G27" s="150">
        <v>999</v>
      </c>
      <c r="H27" s="169" t="s">
        <v>190</v>
      </c>
      <c r="I27" s="108" t="s">
        <v>13</v>
      </c>
      <c r="J27" s="108" t="s">
        <v>13</v>
      </c>
      <c r="K27" s="108" t="s">
        <v>13</v>
      </c>
      <c r="L27" s="108" t="s">
        <v>13</v>
      </c>
      <c r="M27" s="200" t="str">
        <f t="shared" si="1"/>
        <v>Verba Fixa - Entra no Cálculo da Margem</v>
      </c>
    </row>
    <row r="28" spans="1:13" ht="34.5" x14ac:dyDescent="0.25">
      <c r="A28" s="74">
        <f>IF(ISERROR(SEARCH(Simulador!$Q$5,E28)),0,1)</f>
        <v>1</v>
      </c>
      <c r="B28" s="74">
        <f t="shared" si="6"/>
        <v>25</v>
      </c>
      <c r="C28" s="75">
        <f t="shared" si="7"/>
        <v>25</v>
      </c>
      <c r="D28" s="106" t="str">
        <f t="shared" si="3"/>
        <v>25</v>
      </c>
      <c r="E28" s="107" t="s">
        <v>140</v>
      </c>
      <c r="F28" s="107" t="s">
        <v>44</v>
      </c>
      <c r="G28" s="150">
        <v>999</v>
      </c>
      <c r="H28" s="169" t="s">
        <v>190</v>
      </c>
      <c r="I28" s="108" t="s">
        <v>13</v>
      </c>
      <c r="J28" s="108" t="s">
        <v>13</v>
      </c>
      <c r="K28" s="108" t="s">
        <v>13</v>
      </c>
      <c r="L28" s="108" t="s">
        <v>13</v>
      </c>
      <c r="M28" s="200" t="str">
        <f t="shared" si="1"/>
        <v>Verba Fixa - Entra no Cálculo da Margem</v>
      </c>
    </row>
    <row r="29" spans="1:13" ht="34.5" x14ac:dyDescent="0.25">
      <c r="A29" s="74">
        <f>IF(ISERROR(SEARCH(Simulador!$Q$5,E29)),0,1)</f>
        <v>1</v>
      </c>
      <c r="B29" s="74">
        <f t="shared" si="6"/>
        <v>26</v>
      </c>
      <c r="C29" s="75">
        <f t="shared" si="7"/>
        <v>26</v>
      </c>
      <c r="D29" s="106" t="str">
        <f t="shared" si="3"/>
        <v>26</v>
      </c>
      <c r="E29" s="107" t="s">
        <v>148</v>
      </c>
      <c r="F29" s="107" t="s">
        <v>42</v>
      </c>
      <c r="G29" s="150">
        <v>999</v>
      </c>
      <c r="H29" s="169" t="s">
        <v>205</v>
      </c>
      <c r="I29" s="108" t="s">
        <v>20</v>
      </c>
      <c r="J29" s="108" t="s">
        <v>20</v>
      </c>
      <c r="K29" s="108" t="s">
        <v>13</v>
      </c>
      <c r="L29" s="108" t="s">
        <v>13</v>
      </c>
      <c r="M29" s="200" t="str">
        <f t="shared" si="1"/>
        <v>Verba Variavel - Entra no Cálculo da Margem para aposentado e pensionista</v>
      </c>
    </row>
    <row r="30" spans="1:13" ht="22.5" x14ac:dyDescent="0.25">
      <c r="A30" s="74">
        <f>IF(ISERROR(SEARCH(Simulador!$Q$5,E30)),0,1)</f>
        <v>1</v>
      </c>
      <c r="B30" s="74">
        <f t="shared" si="6"/>
        <v>27</v>
      </c>
      <c r="C30" s="75">
        <f t="shared" si="7"/>
        <v>27</v>
      </c>
      <c r="D30" s="106" t="str">
        <f t="shared" si="3"/>
        <v>27</v>
      </c>
      <c r="E30" s="107" t="s">
        <v>141</v>
      </c>
      <c r="F30" s="107" t="s">
        <v>42</v>
      </c>
      <c r="G30" s="150">
        <v>999</v>
      </c>
      <c r="H30" s="169" t="s">
        <v>196</v>
      </c>
      <c r="I30" s="108" t="s">
        <v>20</v>
      </c>
      <c r="J30" s="108" t="s">
        <v>20</v>
      </c>
      <c r="K30" s="108" t="s">
        <v>13</v>
      </c>
      <c r="L30" s="108" t="s">
        <v>13</v>
      </c>
      <c r="M30" s="200" t="str">
        <f t="shared" si="1"/>
        <v>Verba Variavel - Entra no Cálculo da Margem para aposentado e pensionista</v>
      </c>
    </row>
    <row r="31" spans="1:13" ht="22.5" x14ac:dyDescent="0.25">
      <c r="A31" s="74">
        <f>IF(ISERROR(SEARCH(Simulador!$Q$5,E31)),0,1)</f>
        <v>1</v>
      </c>
      <c r="B31" s="74">
        <f t="shared" si="6"/>
        <v>28</v>
      </c>
      <c r="C31" s="75">
        <f t="shared" si="7"/>
        <v>28</v>
      </c>
      <c r="D31" s="106" t="str">
        <f t="shared" si="3"/>
        <v>28</v>
      </c>
      <c r="E31" s="107" t="s">
        <v>68</v>
      </c>
      <c r="F31" s="107" t="s">
        <v>42</v>
      </c>
      <c r="G31" s="150">
        <v>999</v>
      </c>
      <c r="H31" s="169" t="s">
        <v>191</v>
      </c>
      <c r="I31" s="108" t="s">
        <v>20</v>
      </c>
      <c r="J31" s="108" t="s">
        <v>20</v>
      </c>
      <c r="K31" s="108" t="s">
        <v>13</v>
      </c>
      <c r="L31" s="108" t="s">
        <v>13</v>
      </c>
      <c r="M31" s="200" t="str">
        <f t="shared" si="1"/>
        <v>Verba Variavel - Entra no Cálculo da Margem para aposentado e pensionista</v>
      </c>
    </row>
    <row r="32" spans="1:13" ht="22.5" x14ac:dyDescent="0.25">
      <c r="A32" s="74">
        <f>IF(ISERROR(SEARCH(Simulador!$Q$5,E32)),0,1)</f>
        <v>1</v>
      </c>
      <c r="B32" s="74">
        <f t="shared" si="6"/>
        <v>29</v>
      </c>
      <c r="C32" s="75">
        <f t="shared" si="7"/>
        <v>29</v>
      </c>
      <c r="D32" s="106" t="str">
        <f t="shared" si="3"/>
        <v>29</v>
      </c>
      <c r="E32" s="107" t="s">
        <v>127</v>
      </c>
      <c r="F32" s="107" t="s">
        <v>42</v>
      </c>
      <c r="G32" s="150">
        <v>999</v>
      </c>
      <c r="H32" s="169" t="s">
        <v>191</v>
      </c>
      <c r="I32" s="108" t="s">
        <v>20</v>
      </c>
      <c r="J32" s="108" t="s">
        <v>20</v>
      </c>
      <c r="K32" s="108" t="s">
        <v>13</v>
      </c>
      <c r="L32" s="108" t="s">
        <v>13</v>
      </c>
      <c r="M32" s="200" t="str">
        <f t="shared" si="1"/>
        <v>Verba Variavel - Entra no Cálculo da Margem para aposentado e pensionista</v>
      </c>
    </row>
    <row r="33" spans="1:13" x14ac:dyDescent="0.25">
      <c r="A33" s="74">
        <f>IF(ISERROR(SEARCH(Simulador!$Q$5,E33)),0,1)</f>
        <v>1</v>
      </c>
      <c r="B33" s="74">
        <f t="shared" si="6"/>
        <v>30</v>
      </c>
      <c r="C33" s="75">
        <f t="shared" si="7"/>
        <v>30</v>
      </c>
      <c r="D33" s="106" t="str">
        <f t="shared" si="3"/>
        <v>30</v>
      </c>
      <c r="E33" s="107" t="s">
        <v>189</v>
      </c>
      <c r="F33" s="107" t="s">
        <v>42</v>
      </c>
      <c r="G33" s="150">
        <v>999</v>
      </c>
      <c r="H33" s="218" t="s">
        <v>196</v>
      </c>
      <c r="I33" s="108" t="s">
        <v>20</v>
      </c>
      <c r="J33" s="108" t="s">
        <v>20</v>
      </c>
      <c r="K33" s="108" t="s">
        <v>13</v>
      </c>
      <c r="L33" s="108" t="s">
        <v>13</v>
      </c>
      <c r="M33" s="200" t="str">
        <f t="shared" si="1"/>
        <v>Verba Variavel - Entra no Cálculo da Margem para aposentado e pensionista</v>
      </c>
    </row>
    <row r="34" spans="1:13" x14ac:dyDescent="0.25">
      <c r="A34" s="74">
        <f>IF(ISERROR(SEARCH(Simulador!$Q$5,E34)),0,1)</f>
        <v>1</v>
      </c>
      <c r="B34" s="74">
        <f t="shared" si="6"/>
        <v>31</v>
      </c>
      <c r="C34" s="75">
        <f t="shared" si="7"/>
        <v>31</v>
      </c>
      <c r="D34" s="106" t="str">
        <f t="shared" si="3"/>
        <v>31</v>
      </c>
      <c r="E34" s="107" t="s">
        <v>262</v>
      </c>
      <c r="F34" s="107" t="s">
        <v>43</v>
      </c>
      <c r="G34" s="150">
        <v>999</v>
      </c>
      <c r="H34" s="169" t="s">
        <v>229</v>
      </c>
      <c r="I34" s="108" t="s">
        <v>13</v>
      </c>
      <c r="J34" s="108" t="s">
        <v>20</v>
      </c>
      <c r="K34" s="108" t="s">
        <v>13</v>
      </c>
      <c r="L34" s="108" t="s">
        <v>20</v>
      </c>
      <c r="M34" s="200" t="str">
        <f t="shared" si="1"/>
        <v>Desconto Facultativo - Entra no Cálculo da Margem</v>
      </c>
    </row>
    <row r="35" spans="1:13" x14ac:dyDescent="0.25">
      <c r="A35" s="74">
        <f>IF(ISERROR(SEARCH(Simulador!$Q$5,E35)),0,1)</f>
        <v>1</v>
      </c>
      <c r="B35" s="74">
        <f t="shared" si="6"/>
        <v>32</v>
      </c>
      <c r="C35" s="75">
        <f t="shared" si="7"/>
        <v>32</v>
      </c>
      <c r="D35" s="106" t="str">
        <f t="shared" si="3"/>
        <v>32</v>
      </c>
      <c r="E35" s="107" t="s">
        <v>285</v>
      </c>
      <c r="F35" s="107" t="s">
        <v>43</v>
      </c>
      <c r="G35" s="150">
        <v>999</v>
      </c>
      <c r="H35" s="169" t="s">
        <v>229</v>
      </c>
      <c r="I35" s="108" t="s">
        <v>13</v>
      </c>
      <c r="J35" s="108" t="s">
        <v>20</v>
      </c>
      <c r="K35" s="108" t="s">
        <v>13</v>
      </c>
      <c r="L35" s="108" t="s">
        <v>20</v>
      </c>
      <c r="M35" s="200" t="str">
        <f t="shared" si="1"/>
        <v>Desconto Facultativo - Entra no Cálculo da Margem</v>
      </c>
    </row>
    <row r="36" spans="1:13" x14ac:dyDescent="0.25">
      <c r="A36" s="74">
        <f>IF(ISERROR(SEARCH(Simulador!$Q$5,E36)),0,1)</f>
        <v>1</v>
      </c>
      <c r="B36" s="74">
        <f t="shared" si="6"/>
        <v>33</v>
      </c>
      <c r="C36" s="75">
        <f t="shared" si="7"/>
        <v>33</v>
      </c>
      <c r="D36" s="106" t="str">
        <f t="shared" si="3"/>
        <v>33</v>
      </c>
      <c r="E36" s="107" t="s">
        <v>222</v>
      </c>
      <c r="F36" s="107" t="s">
        <v>54</v>
      </c>
      <c r="G36" s="150">
        <v>999</v>
      </c>
      <c r="H36" s="169" t="s">
        <v>223</v>
      </c>
      <c r="I36" s="108" t="s">
        <v>20</v>
      </c>
      <c r="J36" s="108" t="s">
        <v>20</v>
      </c>
      <c r="K36" s="108" t="s">
        <v>20</v>
      </c>
      <c r="L36" s="108" t="s">
        <v>20</v>
      </c>
      <c r="M36" s="200" t="str">
        <f t="shared" si="1"/>
        <v>Desconto - Não entra no Cálculo da Margem</v>
      </c>
    </row>
    <row r="37" spans="1:13" ht="22.5" x14ac:dyDescent="0.25">
      <c r="A37" s="74">
        <f>IF(ISERROR(SEARCH(Simulador!$Q$5,E37)),0,1)</f>
        <v>1</v>
      </c>
      <c r="B37" s="74">
        <f t="shared" si="6"/>
        <v>34</v>
      </c>
      <c r="C37" s="75">
        <f t="shared" si="7"/>
        <v>34</v>
      </c>
      <c r="D37" s="106" t="str">
        <f t="shared" si="3"/>
        <v>34</v>
      </c>
      <c r="E37" s="107" t="s">
        <v>218</v>
      </c>
      <c r="F37" s="107" t="s">
        <v>54</v>
      </c>
      <c r="G37" s="150">
        <v>999</v>
      </c>
      <c r="H37" s="169" t="s">
        <v>219</v>
      </c>
      <c r="I37" s="150" t="s">
        <v>20</v>
      </c>
      <c r="J37" s="108" t="s">
        <v>20</v>
      </c>
      <c r="K37" s="108" t="s">
        <v>20</v>
      </c>
      <c r="L37" s="108" t="s">
        <v>20</v>
      </c>
      <c r="M37" s="200" t="str">
        <f t="shared" si="1"/>
        <v>Desconto - Não entra no Cálculo da Margem</v>
      </c>
    </row>
    <row r="38" spans="1:13" ht="34.5" x14ac:dyDescent="0.25">
      <c r="A38" s="74">
        <f>IF(ISERROR(SEARCH(Simulador!$Q$5,E38)),0,1)</f>
        <v>1</v>
      </c>
      <c r="B38" s="74">
        <f t="shared" si="6"/>
        <v>35</v>
      </c>
      <c r="C38" s="75">
        <f t="shared" si="7"/>
        <v>35</v>
      </c>
      <c r="D38" s="106" t="str">
        <f t="shared" si="3"/>
        <v>35</v>
      </c>
      <c r="E38" s="107" t="s">
        <v>273</v>
      </c>
      <c r="F38" s="107" t="s">
        <v>42</v>
      </c>
      <c r="G38" s="150">
        <v>999</v>
      </c>
      <c r="H38" s="169" t="s">
        <v>270</v>
      </c>
      <c r="I38" s="108" t="s">
        <v>20</v>
      </c>
      <c r="J38" s="108" t="s">
        <v>20</v>
      </c>
      <c r="K38" s="108" t="s">
        <v>20</v>
      </c>
      <c r="L38" s="108" t="s">
        <v>20</v>
      </c>
      <c r="M38" s="200" t="str">
        <f t="shared" si="1"/>
        <v>Verba Variavel - Não entra no Cálculo da Margem</v>
      </c>
    </row>
    <row r="39" spans="1:13" ht="18" x14ac:dyDescent="0.25">
      <c r="A39" s="74">
        <f>IF(ISERROR(SEARCH(Simulador!$Q$5,E39)),0,1)</f>
        <v>1</v>
      </c>
      <c r="B39" s="74">
        <f t="shared" si="6"/>
        <v>36</v>
      </c>
      <c r="C39" s="75">
        <f t="shared" si="7"/>
        <v>36</v>
      </c>
      <c r="D39" s="106" t="str">
        <f t="shared" si="3"/>
        <v>36</v>
      </c>
      <c r="E39" s="107" t="s">
        <v>63</v>
      </c>
      <c r="F39" s="107" t="s">
        <v>42</v>
      </c>
      <c r="G39" s="150">
        <v>999</v>
      </c>
      <c r="H39" s="169" t="s">
        <v>191</v>
      </c>
      <c r="I39" s="108" t="s">
        <v>20</v>
      </c>
      <c r="J39" s="108" t="s">
        <v>20</v>
      </c>
      <c r="K39" s="108" t="s">
        <v>13</v>
      </c>
      <c r="L39" s="108" t="s">
        <v>13</v>
      </c>
      <c r="M39" s="200" t="str">
        <f t="shared" si="1"/>
        <v>Verba Variavel - Entra no Cálculo da Margem para aposentado e pensionista</v>
      </c>
    </row>
    <row r="40" spans="1:13" x14ac:dyDescent="0.25">
      <c r="A40" s="74">
        <f>IF(ISERROR(SEARCH(Simulador!$Q$5,E40)),0,1)</f>
        <v>1</v>
      </c>
      <c r="B40" s="74">
        <f t="shared" si="6"/>
        <v>37</v>
      </c>
      <c r="C40" s="75">
        <f t="shared" si="7"/>
        <v>37</v>
      </c>
      <c r="D40" s="106" t="str">
        <f t="shared" si="3"/>
        <v>37</v>
      </c>
      <c r="E40" s="107" t="s">
        <v>129</v>
      </c>
      <c r="F40" s="107" t="s">
        <v>42</v>
      </c>
      <c r="G40" s="150">
        <v>999</v>
      </c>
      <c r="H40" s="169" t="s">
        <v>196</v>
      </c>
      <c r="I40" s="108" t="s">
        <v>20</v>
      </c>
      <c r="J40" s="108" t="s">
        <v>20</v>
      </c>
      <c r="K40" s="108" t="s">
        <v>13</v>
      </c>
      <c r="L40" s="108" t="s">
        <v>13</v>
      </c>
      <c r="M40" s="200" t="str">
        <f t="shared" si="1"/>
        <v>Verba Variavel - Entra no Cálculo da Margem para aposentado e pensionista</v>
      </c>
    </row>
    <row r="41" spans="1:13" ht="18" x14ac:dyDescent="0.25">
      <c r="A41" s="74">
        <f>IF(ISERROR(SEARCH(Simulador!$Q$5,E41)),0,1)</f>
        <v>1</v>
      </c>
      <c r="B41" s="74">
        <f t="shared" si="6"/>
        <v>38</v>
      </c>
      <c r="C41" s="75">
        <f t="shared" si="7"/>
        <v>38</v>
      </c>
      <c r="D41" s="106" t="str">
        <f t="shared" si="3"/>
        <v>38</v>
      </c>
      <c r="E41" s="107" t="s">
        <v>220</v>
      </c>
      <c r="F41" s="107" t="s">
        <v>54</v>
      </c>
      <c r="G41" s="150">
        <v>999</v>
      </c>
      <c r="H41" s="169" t="s">
        <v>221</v>
      </c>
      <c r="I41" s="108" t="s">
        <v>20</v>
      </c>
      <c r="J41" s="108" t="s">
        <v>20</v>
      </c>
      <c r="K41" s="108" t="s">
        <v>20</v>
      </c>
      <c r="L41" s="108" t="s">
        <v>20</v>
      </c>
      <c r="M41" s="200" t="str">
        <f t="shared" si="1"/>
        <v>Desconto - Não entra no Cálculo da Margem</v>
      </c>
    </row>
    <row r="42" spans="1:13" x14ac:dyDescent="0.25">
      <c r="A42" s="74">
        <f>IF(ISERROR(SEARCH(Simulador!$Q$5,E42)),0,1)</f>
        <v>1</v>
      </c>
      <c r="B42" s="74">
        <f t="shared" si="6"/>
        <v>39</v>
      </c>
      <c r="C42" s="75">
        <f t="shared" si="7"/>
        <v>39</v>
      </c>
      <c r="D42" s="106" t="str">
        <f t="shared" si="3"/>
        <v>39</v>
      </c>
      <c r="E42" s="107" t="s">
        <v>220</v>
      </c>
      <c r="F42" s="107" t="s">
        <v>42</v>
      </c>
      <c r="G42" s="150">
        <v>999</v>
      </c>
      <c r="H42" s="169" t="s">
        <v>224</v>
      </c>
      <c r="I42" s="108" t="s">
        <v>20</v>
      </c>
      <c r="J42" s="108" t="s">
        <v>20</v>
      </c>
      <c r="K42" s="108" t="s">
        <v>20</v>
      </c>
      <c r="L42" s="108" t="s">
        <v>20</v>
      </c>
      <c r="M42" s="200" t="str">
        <f t="shared" si="1"/>
        <v>Verba Variavel - Não entra no Cálculo da Margem</v>
      </c>
    </row>
    <row r="43" spans="1:13" x14ac:dyDescent="0.25">
      <c r="A43" s="74">
        <f>IF(ISERROR(SEARCH(Simulador!$Q$5,E43)),0,1)</f>
        <v>1</v>
      </c>
      <c r="B43" s="74">
        <f t="shared" si="6"/>
        <v>40</v>
      </c>
      <c r="C43" s="75">
        <f t="shared" si="7"/>
        <v>40</v>
      </c>
      <c r="D43" s="106" t="str">
        <f t="shared" si="3"/>
        <v>40</v>
      </c>
      <c r="E43" s="107" t="s">
        <v>280</v>
      </c>
      <c r="F43" s="107" t="s">
        <v>42</v>
      </c>
      <c r="G43" s="150">
        <v>999</v>
      </c>
      <c r="H43" s="169" t="s">
        <v>224</v>
      </c>
      <c r="I43" s="108" t="s">
        <v>20</v>
      </c>
      <c r="J43" s="108" t="s">
        <v>20</v>
      </c>
      <c r="K43" s="108" t="s">
        <v>20</v>
      </c>
      <c r="L43" s="108" t="s">
        <v>20</v>
      </c>
      <c r="M43" s="200" t="str">
        <f t="shared" si="1"/>
        <v>Verba Variavel - Não entra no Cálculo da Margem</v>
      </c>
    </row>
    <row r="44" spans="1:13" x14ac:dyDescent="0.25">
      <c r="A44" s="74">
        <f>IF(ISERROR(SEARCH(Simulador!$Q$5,E44)),0,1)</f>
        <v>1</v>
      </c>
      <c r="B44" s="74">
        <f t="shared" si="6"/>
        <v>41</v>
      </c>
      <c r="C44" s="75">
        <f t="shared" si="7"/>
        <v>41</v>
      </c>
      <c r="D44" s="106" t="str">
        <f t="shared" si="3"/>
        <v>41</v>
      </c>
      <c r="E44" s="107" t="s">
        <v>258</v>
      </c>
      <c r="F44" s="107" t="s">
        <v>43</v>
      </c>
      <c r="G44" s="150">
        <v>999</v>
      </c>
      <c r="H44" s="169" t="s">
        <v>261</v>
      </c>
      <c r="I44" s="108" t="s">
        <v>20</v>
      </c>
      <c r="J44" s="108" t="s">
        <v>20</v>
      </c>
      <c r="K44" s="108" t="s">
        <v>20</v>
      </c>
      <c r="L44" s="108" t="s">
        <v>20</v>
      </c>
      <c r="M44" s="200" t="str">
        <f t="shared" si="1"/>
        <v>Desconto Facultativo - Não entra no Cálculo da Margem</v>
      </c>
    </row>
    <row r="45" spans="1:13" x14ac:dyDescent="0.25">
      <c r="A45" s="74">
        <f>IF(ISERROR(SEARCH(Simulador!$Q$5,E45)),0,1)</f>
        <v>1</v>
      </c>
      <c r="B45" s="74">
        <f t="shared" si="6"/>
        <v>42</v>
      </c>
      <c r="C45" s="75">
        <f t="shared" si="7"/>
        <v>42</v>
      </c>
      <c r="D45" s="106" t="str">
        <f t="shared" si="3"/>
        <v>42</v>
      </c>
      <c r="E45" s="107" t="s">
        <v>259</v>
      </c>
      <c r="F45" s="107" t="s">
        <v>43</v>
      </c>
      <c r="G45" s="150">
        <v>999</v>
      </c>
      <c r="H45" s="169" t="s">
        <v>228</v>
      </c>
      <c r="I45" s="150" t="s">
        <v>13</v>
      </c>
      <c r="J45" s="108" t="s">
        <v>20</v>
      </c>
      <c r="K45" s="108" t="s">
        <v>13</v>
      </c>
      <c r="L45" s="108" t="s">
        <v>20</v>
      </c>
      <c r="M45" s="200" t="str">
        <f t="shared" si="1"/>
        <v>Desconto Facultativo - Entra no Cálculo da Margem</v>
      </c>
    </row>
    <row r="46" spans="1:13" x14ac:dyDescent="0.25">
      <c r="A46" s="74">
        <f>IF(ISERROR(SEARCH(Simulador!$Q$5,E46)),0,1)</f>
        <v>1</v>
      </c>
      <c r="B46" s="74">
        <f t="shared" si="6"/>
        <v>43</v>
      </c>
      <c r="C46" s="75">
        <f t="shared" si="7"/>
        <v>43</v>
      </c>
      <c r="D46" s="106" t="str">
        <f t="shared" si="3"/>
        <v>43</v>
      </c>
      <c r="E46" s="107" t="s">
        <v>231</v>
      </c>
      <c r="F46" s="107" t="s">
        <v>43</v>
      </c>
      <c r="G46" s="150">
        <v>999</v>
      </c>
      <c r="H46" s="169" t="s">
        <v>228</v>
      </c>
      <c r="I46" s="150" t="s">
        <v>13</v>
      </c>
      <c r="J46" s="108" t="s">
        <v>20</v>
      </c>
      <c r="K46" s="108" t="s">
        <v>13</v>
      </c>
      <c r="L46" s="108" t="s">
        <v>20</v>
      </c>
      <c r="M46" s="200" t="str">
        <f t="shared" si="1"/>
        <v>Desconto Facultativo - Entra no Cálculo da Margem</v>
      </c>
    </row>
    <row r="47" spans="1:13" x14ac:dyDescent="0.25">
      <c r="A47" s="74">
        <f>IF(ISERROR(SEARCH(Simulador!$Q$5,E47)),0,1)</f>
        <v>1</v>
      </c>
      <c r="B47" s="74">
        <f t="shared" si="6"/>
        <v>44</v>
      </c>
      <c r="C47" s="75">
        <f t="shared" si="7"/>
        <v>44</v>
      </c>
      <c r="D47" s="106" t="str">
        <f t="shared" si="3"/>
        <v>44</v>
      </c>
      <c r="E47" s="107" t="s">
        <v>283</v>
      </c>
      <c r="F47" s="107" t="s">
        <v>43</v>
      </c>
      <c r="G47" s="150">
        <v>999</v>
      </c>
      <c r="H47" s="169" t="s">
        <v>228</v>
      </c>
      <c r="I47" s="108" t="s">
        <v>13</v>
      </c>
      <c r="J47" s="108" t="s">
        <v>20</v>
      </c>
      <c r="K47" s="108" t="s">
        <v>13</v>
      </c>
      <c r="L47" s="108" t="s">
        <v>20</v>
      </c>
      <c r="M47" s="200" t="str">
        <f t="shared" si="1"/>
        <v>Desconto Facultativo - Entra no Cálculo da Margem</v>
      </c>
    </row>
    <row r="48" spans="1:13" ht="18" x14ac:dyDescent="0.25">
      <c r="A48" s="74">
        <f>IF(ISERROR(SEARCH(Simulador!$Q$5,E48)),0,1)</f>
        <v>1</v>
      </c>
      <c r="B48" s="74">
        <f t="shared" si="6"/>
        <v>45</v>
      </c>
      <c r="C48" s="75">
        <f t="shared" si="7"/>
        <v>45</v>
      </c>
      <c r="D48" s="106" t="str">
        <f t="shared" si="3"/>
        <v>45</v>
      </c>
      <c r="E48" s="107" t="s">
        <v>215</v>
      </c>
      <c r="F48" s="107" t="s">
        <v>43</v>
      </c>
      <c r="G48" s="150">
        <v>999</v>
      </c>
      <c r="H48" s="169" t="s">
        <v>228</v>
      </c>
      <c r="I48" s="108" t="s">
        <v>13</v>
      </c>
      <c r="J48" s="108" t="s">
        <v>20</v>
      </c>
      <c r="K48" s="108" t="s">
        <v>13</v>
      </c>
      <c r="L48" s="108" t="s">
        <v>20</v>
      </c>
      <c r="M48" s="200" t="str">
        <f t="shared" si="1"/>
        <v>Desconto Facultativo - Entra no Cálculo da Margem</v>
      </c>
    </row>
    <row r="49" spans="1:13" x14ac:dyDescent="0.25">
      <c r="A49" s="74">
        <f>IF(ISERROR(SEARCH(Simulador!$Q$5,E49)),0,1)</f>
        <v>1</v>
      </c>
      <c r="B49" s="74">
        <f t="shared" si="6"/>
        <v>46</v>
      </c>
      <c r="C49" s="75">
        <f t="shared" si="7"/>
        <v>46</v>
      </c>
      <c r="D49" s="106" t="str">
        <f t="shared" si="3"/>
        <v>46</v>
      </c>
      <c r="E49" s="107" t="s">
        <v>232</v>
      </c>
      <c r="F49" s="107" t="s">
        <v>43</v>
      </c>
      <c r="G49" s="150">
        <v>999</v>
      </c>
      <c r="H49" s="169" t="s">
        <v>228</v>
      </c>
      <c r="I49" s="108" t="s">
        <v>13</v>
      </c>
      <c r="J49" s="108" t="s">
        <v>20</v>
      </c>
      <c r="K49" s="108" t="s">
        <v>13</v>
      </c>
      <c r="L49" s="108" t="s">
        <v>20</v>
      </c>
      <c r="M49" s="200" t="str">
        <f t="shared" si="1"/>
        <v>Desconto Facultativo - Entra no Cálculo da Margem</v>
      </c>
    </row>
    <row r="50" spans="1:13" x14ac:dyDescent="0.25">
      <c r="A50" s="74">
        <f>IF(ISERROR(SEARCH(Simulador!$Q$5,E50)),0,1)</f>
        <v>1</v>
      </c>
      <c r="B50" s="74">
        <f t="shared" si="6"/>
        <v>47</v>
      </c>
      <c r="C50" s="75">
        <f t="shared" si="7"/>
        <v>47</v>
      </c>
      <c r="D50" s="106" t="str">
        <f t="shared" si="3"/>
        <v>47</v>
      </c>
      <c r="E50" s="107" t="s">
        <v>213</v>
      </c>
      <c r="F50" s="107" t="s">
        <v>43</v>
      </c>
      <c r="G50" s="150">
        <v>999</v>
      </c>
      <c r="H50" s="169" t="s">
        <v>228</v>
      </c>
      <c r="I50" s="150" t="s">
        <v>13</v>
      </c>
      <c r="J50" s="108" t="s">
        <v>20</v>
      </c>
      <c r="K50" s="108" t="s">
        <v>13</v>
      </c>
      <c r="L50" s="108" t="s">
        <v>20</v>
      </c>
      <c r="M50" s="200" t="str">
        <f t="shared" si="1"/>
        <v>Desconto Facultativo - Entra no Cálculo da Margem</v>
      </c>
    </row>
    <row r="51" spans="1:13" ht="34.5" x14ac:dyDescent="0.25">
      <c r="A51" s="74">
        <f>IF(ISERROR(SEARCH(Simulador!$Q$5,E51)),0,1)</f>
        <v>1</v>
      </c>
      <c r="B51" s="74">
        <f t="shared" si="6"/>
        <v>48</v>
      </c>
      <c r="C51" s="75">
        <f t="shared" si="7"/>
        <v>48</v>
      </c>
      <c r="D51" s="106" t="str">
        <f t="shared" si="3"/>
        <v>48</v>
      </c>
      <c r="E51" s="107" t="s">
        <v>281</v>
      </c>
      <c r="F51" s="107" t="s">
        <v>54</v>
      </c>
      <c r="G51" s="150">
        <v>999</v>
      </c>
      <c r="H51" s="169" t="s">
        <v>282</v>
      </c>
      <c r="I51" s="150" t="s">
        <v>20</v>
      </c>
      <c r="J51" s="108" t="s">
        <v>20</v>
      </c>
      <c r="K51" s="108" t="s">
        <v>20</v>
      </c>
      <c r="L51" s="108" t="s">
        <v>20</v>
      </c>
      <c r="M51" s="200" t="str">
        <f t="shared" si="1"/>
        <v>Desconto - Não entra no Cálculo da Margem</v>
      </c>
    </row>
    <row r="52" spans="1:13" ht="34.5" x14ac:dyDescent="0.25">
      <c r="A52" s="74">
        <f>IF(ISERROR(SEARCH(Simulador!$Q$5,E52)),0,1)</f>
        <v>1</v>
      </c>
      <c r="B52" s="74">
        <f t="shared" si="6"/>
        <v>49</v>
      </c>
      <c r="C52" s="75">
        <f t="shared" si="7"/>
        <v>49</v>
      </c>
      <c r="D52" s="106" t="str">
        <f t="shared" si="3"/>
        <v>49</v>
      </c>
      <c r="E52" s="107" t="s">
        <v>217</v>
      </c>
      <c r="F52" s="107" t="s">
        <v>41</v>
      </c>
      <c r="G52" s="150">
        <v>999</v>
      </c>
      <c r="H52" s="169" t="s">
        <v>22</v>
      </c>
      <c r="I52" s="108" t="s">
        <v>13</v>
      </c>
      <c r="J52" s="108" t="s">
        <v>13</v>
      </c>
      <c r="K52" s="108" t="s">
        <v>13</v>
      </c>
      <c r="L52" s="108" t="s">
        <v>13</v>
      </c>
      <c r="M52" s="200" t="str">
        <f t="shared" si="1"/>
        <v>Desconto Obrigatorio - Entra no Cálculo da Margem</v>
      </c>
    </row>
    <row r="53" spans="1:13" ht="22.5" x14ac:dyDescent="0.25">
      <c r="A53" s="74">
        <f>IF(ISERROR(SEARCH(Simulador!$Q$5,E53)),0,1)</f>
        <v>1</v>
      </c>
      <c r="B53" s="74">
        <f t="shared" si="6"/>
        <v>50</v>
      </c>
      <c r="C53" s="75">
        <f t="shared" si="7"/>
        <v>50</v>
      </c>
      <c r="D53" s="106" t="str">
        <f t="shared" si="3"/>
        <v>50</v>
      </c>
      <c r="E53" s="107" t="s">
        <v>274</v>
      </c>
      <c r="F53" s="107" t="s">
        <v>54</v>
      </c>
      <c r="G53" s="150">
        <v>999</v>
      </c>
      <c r="H53" s="169" t="s">
        <v>272</v>
      </c>
      <c r="I53" s="108" t="s">
        <v>20</v>
      </c>
      <c r="J53" s="108" t="s">
        <v>20</v>
      </c>
      <c r="K53" s="108" t="s">
        <v>20</v>
      </c>
      <c r="L53" s="108" t="s">
        <v>20</v>
      </c>
      <c r="M53" s="200" t="str">
        <f t="shared" si="1"/>
        <v>Desconto - Não entra no Cálculo da Margem</v>
      </c>
    </row>
    <row r="54" spans="1:13" ht="22.5" x14ac:dyDescent="0.25">
      <c r="A54" s="74">
        <f>IF(ISERROR(SEARCH(Simulador!$Q$5,E54)),0,1)</f>
        <v>1</v>
      </c>
      <c r="B54" s="74">
        <f t="shared" si="6"/>
        <v>51</v>
      </c>
      <c r="C54" s="75">
        <f t="shared" si="7"/>
        <v>51</v>
      </c>
      <c r="D54" s="106" t="str">
        <f t="shared" si="3"/>
        <v>51</v>
      </c>
      <c r="E54" s="107" t="s">
        <v>225</v>
      </c>
      <c r="F54" s="107" t="s">
        <v>43</v>
      </c>
      <c r="G54" s="150">
        <v>999</v>
      </c>
      <c r="H54" s="169" t="s">
        <v>226</v>
      </c>
      <c r="I54" s="108" t="s">
        <v>13</v>
      </c>
      <c r="J54" s="108" t="s">
        <v>20</v>
      </c>
      <c r="K54" s="108" t="s">
        <v>13</v>
      </c>
      <c r="L54" s="108" t="s">
        <v>20</v>
      </c>
      <c r="M54" s="200" t="str">
        <f t="shared" si="1"/>
        <v>Desconto Facultativo - Entra no Cálculo da Margem</v>
      </c>
    </row>
    <row r="55" spans="1:13" ht="22.5" x14ac:dyDescent="0.25">
      <c r="A55" s="74">
        <f>IF(ISERROR(SEARCH(Simulador!$Q$5,E55)),0,1)</f>
        <v>1</v>
      </c>
      <c r="B55" s="74">
        <f t="shared" si="6"/>
        <v>52</v>
      </c>
      <c r="C55" s="75">
        <f t="shared" si="7"/>
        <v>52</v>
      </c>
      <c r="D55" s="106" t="str">
        <f t="shared" si="3"/>
        <v>52</v>
      </c>
      <c r="E55" s="107" t="s">
        <v>225</v>
      </c>
      <c r="F55" s="107" t="s">
        <v>43</v>
      </c>
      <c r="G55" s="150">
        <v>999</v>
      </c>
      <c r="H55" s="169" t="s">
        <v>226</v>
      </c>
      <c r="I55" s="108" t="s">
        <v>13</v>
      </c>
      <c r="J55" s="108" t="s">
        <v>20</v>
      </c>
      <c r="K55" s="108" t="s">
        <v>13</v>
      </c>
      <c r="L55" s="108" t="s">
        <v>20</v>
      </c>
      <c r="M55" s="200" t="str">
        <f t="shared" si="1"/>
        <v>Desconto Facultativo - Entra no Cálculo da Margem</v>
      </c>
    </row>
    <row r="56" spans="1:13" ht="34.5" x14ac:dyDescent="0.25">
      <c r="A56" s="74">
        <f>IF(ISERROR(SEARCH(Simulador!$Q$5,E56)),0,1)</f>
        <v>1</v>
      </c>
      <c r="B56" s="74">
        <f t="shared" si="6"/>
        <v>53</v>
      </c>
      <c r="C56" s="75">
        <f t="shared" si="7"/>
        <v>53</v>
      </c>
      <c r="D56" s="106" t="str">
        <f t="shared" si="3"/>
        <v>53</v>
      </c>
      <c r="E56" s="107" t="s">
        <v>160</v>
      </c>
      <c r="F56" s="107" t="s">
        <v>42</v>
      </c>
      <c r="G56" s="150">
        <v>999</v>
      </c>
      <c r="H56" s="169" t="s">
        <v>196</v>
      </c>
      <c r="I56" s="108" t="s">
        <v>20</v>
      </c>
      <c r="J56" s="108" t="s">
        <v>20</v>
      </c>
      <c r="K56" s="108" t="s">
        <v>13</v>
      </c>
      <c r="L56" s="108" t="s">
        <v>13</v>
      </c>
      <c r="M56" s="200" t="str">
        <f t="shared" si="1"/>
        <v>Verba Variavel - Entra no Cálculo da Margem para aposentado e pensionista</v>
      </c>
    </row>
    <row r="57" spans="1:13" ht="18" x14ac:dyDescent="0.25">
      <c r="A57" s="74">
        <f>IF(ISERROR(SEARCH(Simulador!$Q$5,E57)),0,1)</f>
        <v>1</v>
      </c>
      <c r="B57" s="74">
        <f t="shared" si="6"/>
        <v>54</v>
      </c>
      <c r="C57" s="75">
        <f t="shared" si="7"/>
        <v>54</v>
      </c>
      <c r="D57" s="106" t="str">
        <f t="shared" si="3"/>
        <v>54</v>
      </c>
      <c r="E57" s="107" t="s">
        <v>157</v>
      </c>
      <c r="F57" s="107" t="s">
        <v>42</v>
      </c>
      <c r="G57" s="150">
        <v>999</v>
      </c>
      <c r="H57" s="169" t="s">
        <v>196</v>
      </c>
      <c r="I57" s="108" t="s">
        <v>20</v>
      </c>
      <c r="J57" s="108" t="s">
        <v>20</v>
      </c>
      <c r="K57" s="108" t="s">
        <v>13</v>
      </c>
      <c r="L57" s="108" t="s">
        <v>13</v>
      </c>
      <c r="M57" s="200" t="str">
        <f t="shared" si="1"/>
        <v>Verba Variavel - Entra no Cálculo da Margem para aposentado e pensionista</v>
      </c>
    </row>
    <row r="58" spans="1:13" ht="22.5" x14ac:dyDescent="0.25">
      <c r="A58" s="74">
        <f>IF(ISERROR(SEARCH(Simulador!$Q$5,E58)),0,1)</f>
        <v>1</v>
      </c>
      <c r="B58" s="74">
        <f t="shared" si="6"/>
        <v>55</v>
      </c>
      <c r="C58" s="75">
        <f t="shared" si="7"/>
        <v>55</v>
      </c>
      <c r="D58" s="106" t="str">
        <f t="shared" si="3"/>
        <v>55</v>
      </c>
      <c r="E58" s="107" t="s">
        <v>256</v>
      </c>
      <c r="F58" s="107" t="s">
        <v>42</v>
      </c>
      <c r="G58" s="150">
        <v>999</v>
      </c>
      <c r="H58" s="169" t="s">
        <v>257</v>
      </c>
      <c r="I58" s="108" t="s">
        <v>20</v>
      </c>
      <c r="J58" s="108" t="s">
        <v>20</v>
      </c>
      <c r="K58" s="108" t="s">
        <v>13</v>
      </c>
      <c r="L58" s="108" t="s">
        <v>13</v>
      </c>
      <c r="M58" s="200" t="str">
        <f t="shared" si="1"/>
        <v>Verba Variavel - Entra no Cálculo da Margem para aposentado e pensionista</v>
      </c>
    </row>
    <row r="59" spans="1:13" ht="22.5" x14ac:dyDescent="0.25">
      <c r="A59" s="74">
        <f>IF(ISERROR(SEARCH(Simulador!$Q$5,E59)),0,1)</f>
        <v>1</v>
      </c>
      <c r="B59" s="74">
        <f t="shared" si="6"/>
        <v>56</v>
      </c>
      <c r="C59" s="75">
        <f t="shared" si="7"/>
        <v>56</v>
      </c>
      <c r="D59" s="106" t="str">
        <f t="shared" si="3"/>
        <v>56</v>
      </c>
      <c r="E59" s="107" t="s">
        <v>87</v>
      </c>
      <c r="F59" s="107" t="s">
        <v>42</v>
      </c>
      <c r="G59" s="150">
        <v>999</v>
      </c>
      <c r="H59" s="169" t="s">
        <v>191</v>
      </c>
      <c r="I59" s="108" t="s">
        <v>20</v>
      </c>
      <c r="J59" s="108" t="s">
        <v>20</v>
      </c>
      <c r="K59" s="108" t="s">
        <v>13</v>
      </c>
      <c r="L59" s="108" t="s">
        <v>13</v>
      </c>
      <c r="M59" s="200" t="str">
        <f t="shared" si="1"/>
        <v>Verba Variavel - Entra no Cálculo da Margem para aposentado e pensionista</v>
      </c>
    </row>
    <row r="60" spans="1:13" ht="34.5" x14ac:dyDescent="0.25">
      <c r="A60" s="74">
        <f>IF(ISERROR(SEARCH(Simulador!$Q$5,E60)),0,1)</f>
        <v>1</v>
      </c>
      <c r="B60" s="74">
        <f t="shared" si="6"/>
        <v>57</v>
      </c>
      <c r="C60" s="75">
        <f t="shared" si="7"/>
        <v>57</v>
      </c>
      <c r="D60" s="106" t="str">
        <f t="shared" si="3"/>
        <v>57</v>
      </c>
      <c r="E60" s="107" t="s">
        <v>62</v>
      </c>
      <c r="F60" s="107" t="s">
        <v>42</v>
      </c>
      <c r="G60" s="150">
        <v>999</v>
      </c>
      <c r="H60" s="169" t="s">
        <v>191</v>
      </c>
      <c r="I60" s="108" t="s">
        <v>20</v>
      </c>
      <c r="J60" s="108" t="s">
        <v>20</v>
      </c>
      <c r="K60" s="108" t="s">
        <v>13</v>
      </c>
      <c r="L60" s="108" t="s">
        <v>13</v>
      </c>
      <c r="M60" s="200" t="str">
        <f t="shared" si="1"/>
        <v>Verba Variavel - Entra no Cálculo da Margem para aposentado e pensionista</v>
      </c>
    </row>
    <row r="61" spans="1:13" ht="22.5" x14ac:dyDescent="0.25">
      <c r="A61" s="74">
        <f>IF(ISERROR(SEARCH(Simulador!$Q$5,E61)),0,1)</f>
        <v>1</v>
      </c>
      <c r="B61" s="74">
        <f t="shared" si="6"/>
        <v>58</v>
      </c>
      <c r="C61" s="75">
        <f t="shared" si="7"/>
        <v>58</v>
      </c>
      <c r="D61" s="106" t="str">
        <f t="shared" si="3"/>
        <v>58</v>
      </c>
      <c r="E61" s="107" t="s">
        <v>128</v>
      </c>
      <c r="F61" s="107" t="s">
        <v>42</v>
      </c>
      <c r="G61" s="150">
        <v>999</v>
      </c>
      <c r="H61" s="169" t="s">
        <v>196</v>
      </c>
      <c r="I61" s="108" t="s">
        <v>20</v>
      </c>
      <c r="J61" s="108" t="s">
        <v>20</v>
      </c>
      <c r="K61" s="108" t="s">
        <v>13</v>
      </c>
      <c r="L61" s="108" t="s">
        <v>13</v>
      </c>
      <c r="M61" s="200" t="str">
        <f t="shared" si="1"/>
        <v>Verba Variavel - Entra no Cálculo da Margem para aposentado e pensionista</v>
      </c>
    </row>
    <row r="62" spans="1:13" ht="34.5" x14ac:dyDescent="0.25">
      <c r="A62" s="74">
        <f>IF(ISERROR(SEARCH(Simulador!$Q$5,E62)),0,1)</f>
        <v>1</v>
      </c>
      <c r="B62" s="74">
        <f t="shared" si="6"/>
        <v>59</v>
      </c>
      <c r="C62" s="75">
        <f t="shared" si="7"/>
        <v>59</v>
      </c>
      <c r="D62" s="106" t="str">
        <f t="shared" si="3"/>
        <v>59</v>
      </c>
      <c r="E62" s="107" t="s">
        <v>146</v>
      </c>
      <c r="F62" s="107" t="s">
        <v>44</v>
      </c>
      <c r="G62" s="150">
        <v>999</v>
      </c>
      <c r="H62" s="169" t="s">
        <v>190</v>
      </c>
      <c r="I62" s="108" t="s">
        <v>13</v>
      </c>
      <c r="J62" s="108" t="s">
        <v>13</v>
      </c>
      <c r="K62" s="108" t="s">
        <v>13</v>
      </c>
      <c r="L62" s="108" t="s">
        <v>13</v>
      </c>
      <c r="M62" s="200" t="str">
        <f t="shared" si="1"/>
        <v>Verba Fixa - Entra no Cálculo da Margem</v>
      </c>
    </row>
    <row r="63" spans="1:13" ht="34.5" x14ac:dyDescent="0.25">
      <c r="A63" s="74">
        <f>IF(ISERROR(SEARCH(Simulador!$Q$5,E63)),0,1)</f>
        <v>1</v>
      </c>
      <c r="B63" s="74">
        <f t="shared" si="6"/>
        <v>60</v>
      </c>
      <c r="C63" s="75">
        <f t="shared" si="7"/>
        <v>60</v>
      </c>
      <c r="D63" s="106" t="str">
        <f t="shared" si="3"/>
        <v>60</v>
      </c>
      <c r="E63" s="107" t="s">
        <v>71</v>
      </c>
      <c r="F63" s="107" t="s">
        <v>42</v>
      </c>
      <c r="G63" s="150">
        <v>999</v>
      </c>
      <c r="H63" s="169" t="s">
        <v>191</v>
      </c>
      <c r="I63" s="108" t="s">
        <v>20</v>
      </c>
      <c r="J63" s="108" t="s">
        <v>20</v>
      </c>
      <c r="K63" s="108" t="s">
        <v>13</v>
      </c>
      <c r="L63" s="108" t="s">
        <v>13</v>
      </c>
      <c r="M63" s="200" t="str">
        <f t="shared" si="1"/>
        <v>Verba Variavel - Entra no Cálculo da Margem para aposentado e pensionista</v>
      </c>
    </row>
    <row r="64" spans="1:13" ht="34.5" x14ac:dyDescent="0.25">
      <c r="A64" s="74">
        <f>IF(ISERROR(SEARCH(Simulador!$Q$5,E64)),0,1)</f>
        <v>1</v>
      </c>
      <c r="B64" s="74">
        <f t="shared" si="6"/>
        <v>61</v>
      </c>
      <c r="C64" s="75">
        <f t="shared" si="7"/>
        <v>61</v>
      </c>
      <c r="D64" s="106" t="str">
        <f t="shared" si="3"/>
        <v>61</v>
      </c>
      <c r="E64" s="107" t="s">
        <v>178</v>
      </c>
      <c r="F64" s="107" t="s">
        <v>42</v>
      </c>
      <c r="G64" s="150">
        <v>999</v>
      </c>
      <c r="H64" s="218" t="s">
        <v>196</v>
      </c>
      <c r="I64" s="108" t="s">
        <v>20</v>
      </c>
      <c r="J64" s="108" t="s">
        <v>20</v>
      </c>
      <c r="K64" s="108" t="s">
        <v>13</v>
      </c>
      <c r="L64" s="108" t="s">
        <v>13</v>
      </c>
      <c r="M64" s="200" t="str">
        <f t="shared" si="1"/>
        <v>Verba Variavel - Entra no Cálculo da Margem para aposentado e pensionista</v>
      </c>
    </row>
    <row r="65" spans="1:13" ht="34.5" x14ac:dyDescent="0.25">
      <c r="A65" s="74">
        <f>IF(ISERROR(SEARCH(Simulador!$Q$5,E65)),0,1)</f>
        <v>1</v>
      </c>
      <c r="B65" s="74">
        <f t="shared" si="6"/>
        <v>62</v>
      </c>
      <c r="C65" s="75">
        <f t="shared" si="7"/>
        <v>62</v>
      </c>
      <c r="D65" s="106" t="str">
        <f t="shared" si="3"/>
        <v>62</v>
      </c>
      <c r="E65" s="107" t="s">
        <v>168</v>
      </c>
      <c r="F65" s="107" t="s">
        <v>42</v>
      </c>
      <c r="G65" s="150">
        <v>999</v>
      </c>
      <c r="H65" s="169" t="s">
        <v>196</v>
      </c>
      <c r="I65" s="108" t="s">
        <v>20</v>
      </c>
      <c r="J65" s="108" t="s">
        <v>20</v>
      </c>
      <c r="K65" s="108" t="s">
        <v>13</v>
      </c>
      <c r="L65" s="108" t="s">
        <v>13</v>
      </c>
      <c r="M65" s="200" t="str">
        <f t="shared" si="1"/>
        <v>Verba Variavel - Entra no Cálculo da Margem para aposentado e pensionista</v>
      </c>
    </row>
    <row r="66" spans="1:13" ht="34.5" x14ac:dyDescent="0.25">
      <c r="A66" s="74">
        <f>IF(ISERROR(SEARCH(Simulador!$Q$5,E66)),0,1)</f>
        <v>1</v>
      </c>
      <c r="B66" s="74">
        <f t="shared" si="6"/>
        <v>63</v>
      </c>
      <c r="C66" s="75">
        <f t="shared" si="7"/>
        <v>63</v>
      </c>
      <c r="D66" s="106" t="str">
        <f t="shared" si="3"/>
        <v>63</v>
      </c>
      <c r="E66" s="107" t="s">
        <v>114</v>
      </c>
      <c r="F66" s="107" t="s">
        <v>42</v>
      </c>
      <c r="G66" s="150">
        <v>999</v>
      </c>
      <c r="H66" s="169" t="s">
        <v>191</v>
      </c>
      <c r="I66" s="108" t="s">
        <v>20</v>
      </c>
      <c r="J66" s="108" t="s">
        <v>20</v>
      </c>
      <c r="K66" s="108" t="s">
        <v>13</v>
      </c>
      <c r="L66" s="108" t="s">
        <v>13</v>
      </c>
      <c r="M66" s="200" t="str">
        <f t="shared" si="1"/>
        <v>Verba Variavel - Entra no Cálculo da Margem para aposentado e pensionista</v>
      </c>
    </row>
    <row r="67" spans="1:13" ht="22.5" x14ac:dyDescent="0.25">
      <c r="A67" s="74">
        <f>IF(ISERROR(SEARCH(Simulador!$Q$5,E67)),0,1)</f>
        <v>1</v>
      </c>
      <c r="B67" s="74">
        <f t="shared" si="6"/>
        <v>64</v>
      </c>
      <c r="C67" s="75">
        <f t="shared" si="7"/>
        <v>64</v>
      </c>
      <c r="D67" s="106" t="str">
        <f t="shared" si="3"/>
        <v>64</v>
      </c>
      <c r="E67" s="107" t="s">
        <v>170</v>
      </c>
      <c r="F67" s="107" t="s">
        <v>42</v>
      </c>
      <c r="G67" s="150">
        <v>999</v>
      </c>
      <c r="H67" s="169" t="s">
        <v>196</v>
      </c>
      <c r="I67" s="108" t="s">
        <v>20</v>
      </c>
      <c r="J67" s="108" t="s">
        <v>20</v>
      </c>
      <c r="K67" s="108" t="s">
        <v>13</v>
      </c>
      <c r="L67" s="108" t="s">
        <v>13</v>
      </c>
      <c r="M67" s="200" t="str">
        <f t="shared" si="1"/>
        <v>Verba Variavel - Entra no Cálculo da Margem para aposentado e pensionista</v>
      </c>
    </row>
    <row r="68" spans="1:13" ht="22.5" x14ac:dyDescent="0.25">
      <c r="A68" s="74">
        <f>IF(ISERROR(SEARCH(Simulador!$Q$5,E68)),0,1)</f>
        <v>1</v>
      </c>
      <c r="B68" s="74">
        <f t="shared" si="6"/>
        <v>65</v>
      </c>
      <c r="C68" s="75">
        <f t="shared" si="7"/>
        <v>65</v>
      </c>
      <c r="D68" s="106" t="str">
        <f t="shared" si="3"/>
        <v>65</v>
      </c>
      <c r="E68" s="107" t="s">
        <v>167</v>
      </c>
      <c r="F68" s="107" t="s">
        <v>42</v>
      </c>
      <c r="G68" s="150">
        <v>999</v>
      </c>
      <c r="H68" s="169" t="s">
        <v>196</v>
      </c>
      <c r="I68" s="108" t="s">
        <v>20</v>
      </c>
      <c r="J68" s="108" t="s">
        <v>20</v>
      </c>
      <c r="K68" s="108" t="s">
        <v>13</v>
      </c>
      <c r="L68" s="108" t="s">
        <v>13</v>
      </c>
      <c r="M68" s="200" t="str">
        <f t="shared" ref="M68:M131" si="8">IF(I68="Sim",F68&amp;" - Entra no Cálculo da Margem",IF(K68="Sim",F68&amp;" - Entra no Cálculo da Margem para aposentado e pensionista",F68&amp;" - Não entra no Cálculo da Margem"))</f>
        <v>Verba Variavel - Entra no Cálculo da Margem para aposentado e pensionista</v>
      </c>
    </row>
    <row r="69" spans="1:13" ht="22.5" x14ac:dyDescent="0.25">
      <c r="A69" s="74">
        <f>IF(ISERROR(SEARCH(Simulador!$Q$5,E69)),0,1)</f>
        <v>1</v>
      </c>
      <c r="B69" s="74">
        <f t="shared" ref="B69:B75" si="9">IF(A69=0,B68,A69+B68)</f>
        <v>66</v>
      </c>
      <c r="C69" s="75">
        <f t="shared" ref="C69:C75" si="10">IF(A69=0,0,B69)</f>
        <v>66</v>
      </c>
      <c r="D69" s="106" t="str">
        <f t="shared" si="3"/>
        <v>66</v>
      </c>
      <c r="E69" s="107" t="s">
        <v>161</v>
      </c>
      <c r="F69" s="107" t="s">
        <v>42</v>
      </c>
      <c r="G69" s="150">
        <v>999</v>
      </c>
      <c r="H69" s="169" t="s">
        <v>196</v>
      </c>
      <c r="I69" s="108" t="s">
        <v>20</v>
      </c>
      <c r="J69" s="108" t="s">
        <v>20</v>
      </c>
      <c r="K69" s="108" t="s">
        <v>13</v>
      </c>
      <c r="L69" s="108" t="s">
        <v>13</v>
      </c>
      <c r="M69" s="200" t="str">
        <f t="shared" si="8"/>
        <v>Verba Variavel - Entra no Cálculo da Margem para aposentado e pensionista</v>
      </c>
    </row>
    <row r="70" spans="1:13" ht="22.5" x14ac:dyDescent="0.25">
      <c r="A70" s="74">
        <f>IF(ISERROR(SEARCH(Simulador!$Q$5,E70)),0,1)</f>
        <v>1</v>
      </c>
      <c r="B70" s="74">
        <f t="shared" si="9"/>
        <v>67</v>
      </c>
      <c r="C70" s="75">
        <f t="shared" si="10"/>
        <v>67</v>
      </c>
      <c r="D70" s="106" t="str">
        <f t="shared" ref="D70:D133" si="11">TEXT(D69+1,"00")</f>
        <v>67</v>
      </c>
      <c r="E70" s="107" t="s">
        <v>158</v>
      </c>
      <c r="F70" s="107" t="s">
        <v>42</v>
      </c>
      <c r="G70" s="150">
        <v>999</v>
      </c>
      <c r="H70" s="169" t="s">
        <v>196</v>
      </c>
      <c r="I70" s="108" t="s">
        <v>20</v>
      </c>
      <c r="J70" s="108" t="s">
        <v>20</v>
      </c>
      <c r="K70" s="108" t="s">
        <v>13</v>
      </c>
      <c r="L70" s="108" t="s">
        <v>13</v>
      </c>
      <c r="M70" s="200" t="str">
        <f t="shared" si="8"/>
        <v>Verba Variavel - Entra no Cálculo da Margem para aposentado e pensionista</v>
      </c>
    </row>
    <row r="71" spans="1:13" ht="22.5" x14ac:dyDescent="0.25">
      <c r="A71" s="74">
        <f>IF(ISERROR(SEARCH(Simulador!$Q$5,E71)),0,1)</f>
        <v>1</v>
      </c>
      <c r="B71" s="74">
        <f t="shared" si="9"/>
        <v>68</v>
      </c>
      <c r="C71" s="75">
        <f t="shared" si="10"/>
        <v>68</v>
      </c>
      <c r="D71" s="106" t="str">
        <f t="shared" si="11"/>
        <v>68</v>
      </c>
      <c r="E71" s="107" t="s">
        <v>131</v>
      </c>
      <c r="F71" s="107" t="s">
        <v>42</v>
      </c>
      <c r="G71" s="150">
        <v>999</v>
      </c>
      <c r="H71" s="169" t="s">
        <v>196</v>
      </c>
      <c r="I71" s="108" t="s">
        <v>20</v>
      </c>
      <c r="J71" s="108" t="s">
        <v>20</v>
      </c>
      <c r="K71" s="108" t="s">
        <v>13</v>
      </c>
      <c r="L71" s="108" t="s">
        <v>13</v>
      </c>
      <c r="M71" s="200" t="str">
        <f t="shared" si="8"/>
        <v>Verba Variavel - Entra no Cálculo da Margem para aposentado e pensionista</v>
      </c>
    </row>
    <row r="72" spans="1:13" ht="22.5" x14ac:dyDescent="0.25">
      <c r="A72" s="74">
        <f>IF(ISERROR(SEARCH(Simulador!$Q$5,E72)),0,1)</f>
        <v>1</v>
      </c>
      <c r="B72" s="74">
        <f t="shared" si="9"/>
        <v>69</v>
      </c>
      <c r="C72" s="75">
        <f t="shared" si="10"/>
        <v>69</v>
      </c>
      <c r="D72" s="106" t="str">
        <f t="shared" si="11"/>
        <v>69</v>
      </c>
      <c r="E72" s="107" t="s">
        <v>187</v>
      </c>
      <c r="F72" s="107" t="s">
        <v>42</v>
      </c>
      <c r="G72" s="150">
        <v>999</v>
      </c>
      <c r="H72" s="218" t="s">
        <v>196</v>
      </c>
      <c r="I72" s="108" t="s">
        <v>20</v>
      </c>
      <c r="J72" s="108" t="s">
        <v>20</v>
      </c>
      <c r="K72" s="108" t="s">
        <v>13</v>
      </c>
      <c r="L72" s="108" t="s">
        <v>13</v>
      </c>
      <c r="M72" s="200" t="str">
        <f t="shared" si="8"/>
        <v>Verba Variavel - Entra no Cálculo da Margem para aposentado e pensionista</v>
      </c>
    </row>
    <row r="73" spans="1:13" ht="22.5" x14ac:dyDescent="0.25">
      <c r="A73" s="74">
        <f>IF(ISERROR(SEARCH(Simulador!$Q$5,E73)),0,1)</f>
        <v>1</v>
      </c>
      <c r="B73" s="74">
        <f t="shared" si="9"/>
        <v>70</v>
      </c>
      <c r="C73" s="75">
        <f t="shared" si="10"/>
        <v>70</v>
      </c>
      <c r="D73" s="106" t="str">
        <f t="shared" si="11"/>
        <v>70</v>
      </c>
      <c r="E73" s="107" t="s">
        <v>74</v>
      </c>
      <c r="F73" s="107" t="s">
        <v>42</v>
      </c>
      <c r="G73" s="150">
        <v>999</v>
      </c>
      <c r="H73" s="169" t="s">
        <v>191</v>
      </c>
      <c r="I73" s="108" t="s">
        <v>20</v>
      </c>
      <c r="J73" s="108" t="s">
        <v>20</v>
      </c>
      <c r="K73" s="108" t="s">
        <v>13</v>
      </c>
      <c r="L73" s="108" t="s">
        <v>13</v>
      </c>
      <c r="M73" s="200" t="str">
        <f t="shared" si="8"/>
        <v>Verba Variavel - Entra no Cálculo da Margem para aposentado e pensionista</v>
      </c>
    </row>
    <row r="74" spans="1:13" ht="22.5" x14ac:dyDescent="0.25">
      <c r="A74" s="74">
        <f>IF(ISERROR(SEARCH(Simulador!$Q$5,E74)),0,1)</f>
        <v>1</v>
      </c>
      <c r="B74" s="74">
        <f t="shared" si="9"/>
        <v>71</v>
      </c>
      <c r="C74" s="75">
        <f t="shared" si="10"/>
        <v>71</v>
      </c>
      <c r="D74" s="106" t="str">
        <f t="shared" si="11"/>
        <v>71</v>
      </c>
      <c r="E74" s="107" t="s">
        <v>76</v>
      </c>
      <c r="F74" s="107" t="s">
        <v>42</v>
      </c>
      <c r="G74" s="150">
        <v>999</v>
      </c>
      <c r="H74" s="169" t="s">
        <v>191</v>
      </c>
      <c r="I74" s="108" t="s">
        <v>20</v>
      </c>
      <c r="J74" s="108" t="s">
        <v>20</v>
      </c>
      <c r="K74" s="108" t="s">
        <v>13</v>
      </c>
      <c r="L74" s="108" t="s">
        <v>13</v>
      </c>
      <c r="M74" s="200" t="str">
        <f t="shared" si="8"/>
        <v>Verba Variavel - Entra no Cálculo da Margem para aposentado e pensionista</v>
      </c>
    </row>
    <row r="75" spans="1:13" ht="18" x14ac:dyDescent="0.25">
      <c r="A75" s="74">
        <f>IF(ISERROR(SEARCH(Simulador!$Q$5,E75)),0,1)</f>
        <v>1</v>
      </c>
      <c r="B75" s="74">
        <f t="shared" si="9"/>
        <v>72</v>
      </c>
      <c r="C75" s="75">
        <f t="shared" si="10"/>
        <v>72</v>
      </c>
      <c r="D75" s="106" t="str">
        <f t="shared" si="11"/>
        <v>72</v>
      </c>
      <c r="E75" s="107" t="s">
        <v>77</v>
      </c>
      <c r="F75" s="107" t="s">
        <v>42</v>
      </c>
      <c r="G75" s="150">
        <v>999</v>
      </c>
      <c r="H75" s="169" t="s">
        <v>191</v>
      </c>
      <c r="I75" s="108" t="s">
        <v>20</v>
      </c>
      <c r="J75" s="108" t="s">
        <v>20</v>
      </c>
      <c r="K75" s="108" t="s">
        <v>13</v>
      </c>
      <c r="L75" s="108" t="s">
        <v>13</v>
      </c>
      <c r="M75" s="200" t="str">
        <f t="shared" si="8"/>
        <v>Verba Variavel - Entra no Cálculo da Margem para aposentado e pensionista</v>
      </c>
    </row>
    <row r="76" spans="1:13" ht="34.5" x14ac:dyDescent="0.25">
      <c r="A76" s="74">
        <f>IF(ISERROR(SEARCH(Simulador!$Q$5,E76)),0,1)</f>
        <v>1</v>
      </c>
      <c r="B76" s="74">
        <f t="shared" ref="B76:B108" si="12">IF(A76=0,B75,A76+B75)</f>
        <v>73</v>
      </c>
      <c r="C76" s="75">
        <f t="shared" ref="C76:C108" si="13">IF(A76=0,0,B76)</f>
        <v>73</v>
      </c>
      <c r="D76" s="106" t="str">
        <f t="shared" si="11"/>
        <v>73</v>
      </c>
      <c r="E76" s="107" t="s">
        <v>70</v>
      </c>
      <c r="F76" s="107" t="s">
        <v>42</v>
      </c>
      <c r="G76" s="150">
        <v>999</v>
      </c>
      <c r="H76" s="169" t="s">
        <v>191</v>
      </c>
      <c r="I76" s="108" t="s">
        <v>20</v>
      </c>
      <c r="J76" s="108" t="s">
        <v>20</v>
      </c>
      <c r="K76" s="108" t="s">
        <v>13</v>
      </c>
      <c r="L76" s="108" t="s">
        <v>13</v>
      </c>
      <c r="M76" s="200" t="str">
        <f t="shared" si="8"/>
        <v>Verba Variavel - Entra no Cálculo da Margem para aposentado e pensionista</v>
      </c>
    </row>
    <row r="77" spans="1:13" ht="34.5" x14ac:dyDescent="0.25">
      <c r="A77" s="74">
        <f>IF(ISERROR(SEARCH(Simulador!$Q$5,E77)),0,1)</f>
        <v>1</v>
      </c>
      <c r="B77" s="74">
        <f t="shared" si="12"/>
        <v>74</v>
      </c>
      <c r="C77" s="75">
        <f t="shared" si="13"/>
        <v>74</v>
      </c>
      <c r="D77" s="106" t="str">
        <f t="shared" si="11"/>
        <v>74</v>
      </c>
      <c r="E77" s="107" t="s">
        <v>69</v>
      </c>
      <c r="F77" s="107" t="s">
        <v>42</v>
      </c>
      <c r="G77" s="150">
        <v>999</v>
      </c>
      <c r="H77" s="169" t="s">
        <v>191</v>
      </c>
      <c r="I77" s="108" t="s">
        <v>20</v>
      </c>
      <c r="J77" s="108" t="s">
        <v>20</v>
      </c>
      <c r="K77" s="108" t="s">
        <v>13</v>
      </c>
      <c r="L77" s="108" t="s">
        <v>13</v>
      </c>
      <c r="M77" s="200" t="str">
        <f t="shared" si="8"/>
        <v>Verba Variavel - Entra no Cálculo da Margem para aposentado e pensionista</v>
      </c>
    </row>
    <row r="78" spans="1:13" x14ac:dyDescent="0.25">
      <c r="A78" s="74">
        <f>IF(ISERROR(SEARCH(Simulador!$Q$5,E78)),0,1)</f>
        <v>1</v>
      </c>
      <c r="B78" s="74">
        <f t="shared" si="12"/>
        <v>75</v>
      </c>
      <c r="C78" s="75">
        <f t="shared" si="13"/>
        <v>75</v>
      </c>
      <c r="D78" s="106" t="str">
        <f t="shared" si="11"/>
        <v>75</v>
      </c>
      <c r="E78" s="107" t="s">
        <v>72</v>
      </c>
      <c r="F78" s="107" t="s">
        <v>42</v>
      </c>
      <c r="G78" s="150">
        <v>999</v>
      </c>
      <c r="H78" s="169" t="s">
        <v>191</v>
      </c>
      <c r="I78" s="108" t="s">
        <v>20</v>
      </c>
      <c r="J78" s="108" t="s">
        <v>20</v>
      </c>
      <c r="K78" s="108" t="s">
        <v>13</v>
      </c>
      <c r="L78" s="108" t="s">
        <v>13</v>
      </c>
      <c r="M78" s="200" t="str">
        <f t="shared" si="8"/>
        <v>Verba Variavel - Entra no Cálculo da Margem para aposentado e pensionista</v>
      </c>
    </row>
    <row r="79" spans="1:13" ht="26.25" x14ac:dyDescent="0.25">
      <c r="A79" s="74">
        <f>IF(ISERROR(SEARCH(Simulador!$Q$5,E79)),0,1)</f>
        <v>1</v>
      </c>
      <c r="B79" s="74">
        <f t="shared" si="12"/>
        <v>76</v>
      </c>
      <c r="C79" s="75">
        <f t="shared" si="13"/>
        <v>76</v>
      </c>
      <c r="D79" s="106" t="str">
        <f t="shared" si="11"/>
        <v>76</v>
      </c>
      <c r="E79" s="107" t="s">
        <v>65</v>
      </c>
      <c r="F79" s="107" t="s">
        <v>42</v>
      </c>
      <c r="G79" s="150">
        <v>999</v>
      </c>
      <c r="H79" s="169" t="s">
        <v>191</v>
      </c>
      <c r="I79" s="108" t="s">
        <v>20</v>
      </c>
      <c r="J79" s="108" t="s">
        <v>20</v>
      </c>
      <c r="K79" s="108" t="s">
        <v>13</v>
      </c>
      <c r="L79" s="108" t="s">
        <v>13</v>
      </c>
      <c r="M79" s="200" t="str">
        <f t="shared" si="8"/>
        <v>Verba Variavel - Entra no Cálculo da Margem para aposentado e pensionista</v>
      </c>
    </row>
    <row r="80" spans="1:13" ht="67.5" x14ac:dyDescent="0.25">
      <c r="A80" s="74">
        <f>IF(ISERROR(SEARCH(Simulador!$Q$5,E80)),0,1)</f>
        <v>1</v>
      </c>
      <c r="B80" s="74">
        <f t="shared" si="12"/>
        <v>77</v>
      </c>
      <c r="C80" s="75">
        <f t="shared" si="13"/>
        <v>77</v>
      </c>
      <c r="D80" s="106" t="str">
        <f t="shared" si="11"/>
        <v>77</v>
      </c>
      <c r="E80" s="107" t="s">
        <v>145</v>
      </c>
      <c r="F80" s="107" t="s">
        <v>44</v>
      </c>
      <c r="G80" s="150">
        <v>999</v>
      </c>
      <c r="H80" s="169" t="s">
        <v>190</v>
      </c>
      <c r="I80" s="108" t="s">
        <v>13</v>
      </c>
      <c r="J80" s="108" t="s">
        <v>13</v>
      </c>
      <c r="K80" s="108" t="s">
        <v>13</v>
      </c>
      <c r="L80" s="108" t="s">
        <v>13</v>
      </c>
      <c r="M80" s="200" t="str">
        <f t="shared" si="8"/>
        <v>Verba Fixa - Entra no Cálculo da Margem</v>
      </c>
    </row>
    <row r="81" spans="1:13" ht="22.5" x14ac:dyDescent="0.25">
      <c r="A81" s="74">
        <f>IF(ISERROR(SEARCH(Simulador!$Q$5,E81)),0,1)</f>
        <v>1</v>
      </c>
      <c r="B81" s="74">
        <f t="shared" si="12"/>
        <v>78</v>
      </c>
      <c r="C81" s="75">
        <f t="shared" si="13"/>
        <v>78</v>
      </c>
      <c r="D81" s="106" t="str">
        <f t="shared" si="11"/>
        <v>78</v>
      </c>
      <c r="E81" s="107" t="s">
        <v>132</v>
      </c>
      <c r="F81" s="107" t="s">
        <v>42</v>
      </c>
      <c r="G81" s="150">
        <v>999</v>
      </c>
      <c r="H81" s="169" t="s">
        <v>205</v>
      </c>
      <c r="I81" s="108" t="s">
        <v>20</v>
      </c>
      <c r="J81" s="108" t="s">
        <v>20</v>
      </c>
      <c r="K81" s="108" t="s">
        <v>13</v>
      </c>
      <c r="L81" s="108" t="s">
        <v>13</v>
      </c>
      <c r="M81" s="200" t="str">
        <f t="shared" si="8"/>
        <v>Verba Variavel - Entra no Cálculo da Margem para aposentado e pensionista</v>
      </c>
    </row>
    <row r="82" spans="1:13" ht="22.5" x14ac:dyDescent="0.25">
      <c r="A82" s="74">
        <f>IF(ISERROR(SEARCH(Simulador!$Q$5,E82)),0,1)</f>
        <v>1</v>
      </c>
      <c r="B82" s="74">
        <f t="shared" si="12"/>
        <v>79</v>
      </c>
      <c r="C82" s="75">
        <f t="shared" si="13"/>
        <v>79</v>
      </c>
      <c r="D82" s="106" t="str">
        <f t="shared" si="11"/>
        <v>79</v>
      </c>
      <c r="E82" s="107" t="s">
        <v>147</v>
      </c>
      <c r="F82" s="107" t="s">
        <v>42</v>
      </c>
      <c r="G82" s="150">
        <v>999</v>
      </c>
      <c r="H82" s="169" t="s">
        <v>205</v>
      </c>
      <c r="I82" s="108" t="s">
        <v>20</v>
      </c>
      <c r="J82" s="108" t="s">
        <v>20</v>
      </c>
      <c r="K82" s="108" t="s">
        <v>13</v>
      </c>
      <c r="L82" s="108" t="s">
        <v>13</v>
      </c>
      <c r="M82" s="200" t="str">
        <f t="shared" si="8"/>
        <v>Verba Variavel - Entra no Cálculo da Margem para aposentado e pensionista</v>
      </c>
    </row>
    <row r="83" spans="1:13" ht="22.5" x14ac:dyDescent="0.25">
      <c r="A83" s="74">
        <f>IF(ISERROR(SEARCH(Simulador!$Q$5,E83)),0,1)</f>
        <v>1</v>
      </c>
      <c r="B83" s="74">
        <f t="shared" si="12"/>
        <v>80</v>
      </c>
      <c r="C83" s="75">
        <f t="shared" si="13"/>
        <v>80</v>
      </c>
      <c r="D83" s="106" t="str">
        <f t="shared" si="11"/>
        <v>80</v>
      </c>
      <c r="E83" s="107" t="s">
        <v>266</v>
      </c>
      <c r="F83" s="107" t="s">
        <v>42</v>
      </c>
      <c r="G83" s="150">
        <v>999</v>
      </c>
      <c r="H83" s="218" t="s">
        <v>22</v>
      </c>
      <c r="I83" s="108" t="s">
        <v>20</v>
      </c>
      <c r="J83" s="108" t="s">
        <v>20</v>
      </c>
      <c r="K83" s="108" t="s">
        <v>20</v>
      </c>
      <c r="L83" s="108" t="s">
        <v>20</v>
      </c>
      <c r="M83" s="200" t="str">
        <f t="shared" si="8"/>
        <v>Verba Variavel - Não entra no Cálculo da Margem</v>
      </c>
    </row>
    <row r="84" spans="1:13" ht="22.5" x14ac:dyDescent="0.25">
      <c r="A84" s="74">
        <f>IF(ISERROR(SEARCH(Simulador!$Q$5,E84)),0,1)</f>
        <v>1</v>
      </c>
      <c r="B84" s="74">
        <f t="shared" si="12"/>
        <v>81</v>
      </c>
      <c r="C84" s="75">
        <f t="shared" si="13"/>
        <v>81</v>
      </c>
      <c r="D84" s="106" t="str">
        <f t="shared" si="11"/>
        <v>81</v>
      </c>
      <c r="E84" s="107" t="s">
        <v>152</v>
      </c>
      <c r="F84" s="107" t="s">
        <v>44</v>
      </c>
      <c r="G84" s="150">
        <v>999</v>
      </c>
      <c r="H84" s="169" t="s">
        <v>206</v>
      </c>
      <c r="I84" s="108" t="s">
        <v>13</v>
      </c>
      <c r="J84" s="108" t="s">
        <v>13</v>
      </c>
      <c r="K84" s="108" t="s">
        <v>13</v>
      </c>
      <c r="L84" s="108" t="s">
        <v>13</v>
      </c>
      <c r="M84" s="200" t="str">
        <f t="shared" si="8"/>
        <v>Verba Fixa - Entra no Cálculo da Margem</v>
      </c>
    </row>
    <row r="85" spans="1:13" ht="22.5" x14ac:dyDescent="0.25">
      <c r="A85" s="74">
        <f>IF(ISERROR(SEARCH(Simulador!$Q$5,E85)),0,1)</f>
        <v>1</v>
      </c>
      <c r="B85" s="74">
        <f t="shared" si="12"/>
        <v>82</v>
      </c>
      <c r="C85" s="75">
        <f t="shared" si="13"/>
        <v>82</v>
      </c>
      <c r="D85" s="106" t="str">
        <f t="shared" si="11"/>
        <v>82</v>
      </c>
      <c r="E85" s="107" t="s">
        <v>133</v>
      </c>
      <c r="F85" s="107" t="s">
        <v>42</v>
      </c>
      <c r="G85" s="150">
        <v>999</v>
      </c>
      <c r="H85" s="169" t="s">
        <v>197</v>
      </c>
      <c r="I85" s="108" t="s">
        <v>20</v>
      </c>
      <c r="J85" s="108" t="s">
        <v>20</v>
      </c>
      <c r="K85" s="108" t="s">
        <v>13</v>
      </c>
      <c r="L85" s="108" t="s">
        <v>13</v>
      </c>
      <c r="M85" s="200" t="str">
        <f t="shared" si="8"/>
        <v>Verba Variavel - Entra no Cálculo da Margem para aposentado e pensionista</v>
      </c>
    </row>
    <row r="86" spans="1:13" x14ac:dyDescent="0.25">
      <c r="A86" s="74">
        <f>IF(ISERROR(SEARCH(Simulador!$Q$5,E86)),0,1)</f>
        <v>1</v>
      </c>
      <c r="B86" s="74">
        <f t="shared" si="12"/>
        <v>83</v>
      </c>
      <c r="C86" s="75">
        <f t="shared" si="13"/>
        <v>83</v>
      </c>
      <c r="D86" s="106" t="str">
        <f t="shared" si="11"/>
        <v>83</v>
      </c>
      <c r="E86" s="107" t="s">
        <v>80</v>
      </c>
      <c r="F86" s="107" t="s">
        <v>42</v>
      </c>
      <c r="G86" s="150">
        <v>999</v>
      </c>
      <c r="H86" s="169" t="s">
        <v>191</v>
      </c>
      <c r="I86" s="108" t="s">
        <v>20</v>
      </c>
      <c r="J86" s="108" t="s">
        <v>20</v>
      </c>
      <c r="K86" s="108" t="s">
        <v>13</v>
      </c>
      <c r="L86" s="108" t="s">
        <v>13</v>
      </c>
      <c r="M86" s="200" t="str">
        <f t="shared" si="8"/>
        <v>Verba Variavel - Entra no Cálculo da Margem para aposentado e pensionista</v>
      </c>
    </row>
    <row r="87" spans="1:13" ht="26.25" x14ac:dyDescent="0.25">
      <c r="A87" s="74">
        <f>IF(ISERROR(SEARCH(Simulador!$Q$5,E87)),0,1)</f>
        <v>1</v>
      </c>
      <c r="B87" s="74">
        <f t="shared" si="12"/>
        <v>84</v>
      </c>
      <c r="C87" s="75">
        <f t="shared" si="13"/>
        <v>84</v>
      </c>
      <c r="D87" s="106" t="str">
        <f t="shared" si="11"/>
        <v>84</v>
      </c>
      <c r="E87" s="107" t="s">
        <v>83</v>
      </c>
      <c r="F87" s="107" t="s">
        <v>42</v>
      </c>
      <c r="G87" s="150">
        <v>999</v>
      </c>
      <c r="H87" s="169" t="s">
        <v>191</v>
      </c>
      <c r="I87" s="108" t="s">
        <v>20</v>
      </c>
      <c r="J87" s="108" t="s">
        <v>20</v>
      </c>
      <c r="K87" s="108" t="s">
        <v>13</v>
      </c>
      <c r="L87" s="108" t="s">
        <v>13</v>
      </c>
      <c r="M87" s="200" t="str">
        <f t="shared" si="8"/>
        <v>Verba Variavel - Entra no Cálculo da Margem para aposentado e pensionista</v>
      </c>
    </row>
    <row r="88" spans="1:13" ht="22.5" x14ac:dyDescent="0.25">
      <c r="A88" s="74">
        <f>IF(ISERROR(SEARCH(Simulador!$Q$5,E88)),0,1)</f>
        <v>1</v>
      </c>
      <c r="B88" s="74">
        <f t="shared" si="12"/>
        <v>85</v>
      </c>
      <c r="C88" s="75">
        <f t="shared" si="13"/>
        <v>85</v>
      </c>
      <c r="D88" s="106" t="str">
        <f t="shared" si="11"/>
        <v>85</v>
      </c>
      <c r="E88" s="107" t="s">
        <v>84</v>
      </c>
      <c r="F88" s="107" t="s">
        <v>42</v>
      </c>
      <c r="G88" s="150">
        <v>999</v>
      </c>
      <c r="H88" s="169" t="s">
        <v>191</v>
      </c>
      <c r="I88" s="108" t="s">
        <v>20</v>
      </c>
      <c r="J88" s="108" t="s">
        <v>20</v>
      </c>
      <c r="K88" s="108" t="s">
        <v>13</v>
      </c>
      <c r="L88" s="108" t="s">
        <v>13</v>
      </c>
      <c r="M88" s="200" t="str">
        <f t="shared" si="8"/>
        <v>Verba Variavel - Entra no Cálculo da Margem para aposentado e pensionista</v>
      </c>
    </row>
    <row r="89" spans="1:13" ht="22.5" x14ac:dyDescent="0.25">
      <c r="A89" s="74">
        <f>IF(ISERROR(SEARCH(Simulador!$Q$5,E89)),0,1)</f>
        <v>1</v>
      </c>
      <c r="B89" s="74">
        <f t="shared" si="12"/>
        <v>86</v>
      </c>
      <c r="C89" s="75">
        <f t="shared" si="13"/>
        <v>86</v>
      </c>
      <c r="D89" s="106" t="str">
        <f t="shared" si="11"/>
        <v>86</v>
      </c>
      <c r="E89" s="107" t="s">
        <v>81</v>
      </c>
      <c r="F89" s="107" t="s">
        <v>42</v>
      </c>
      <c r="G89" s="150">
        <v>999</v>
      </c>
      <c r="H89" s="169" t="s">
        <v>191</v>
      </c>
      <c r="I89" s="108" t="s">
        <v>20</v>
      </c>
      <c r="J89" s="108" t="s">
        <v>20</v>
      </c>
      <c r="K89" s="108" t="s">
        <v>13</v>
      </c>
      <c r="L89" s="108" t="s">
        <v>13</v>
      </c>
      <c r="M89" s="200" t="str">
        <f t="shared" si="8"/>
        <v>Verba Variavel - Entra no Cálculo da Margem para aposentado e pensionista</v>
      </c>
    </row>
    <row r="90" spans="1:13" ht="150" x14ac:dyDescent="0.25">
      <c r="A90" s="74">
        <f>IF(ISERROR(SEARCH(Simulador!$Q$5,E90)),0,1)</f>
        <v>1</v>
      </c>
      <c r="B90" s="74">
        <f t="shared" si="12"/>
        <v>87</v>
      </c>
      <c r="C90" s="75">
        <f t="shared" si="13"/>
        <v>87</v>
      </c>
      <c r="D90" s="106" t="str">
        <f t="shared" si="11"/>
        <v>87</v>
      </c>
      <c r="E90" s="107" t="s">
        <v>73</v>
      </c>
      <c r="F90" s="107" t="s">
        <v>42</v>
      </c>
      <c r="G90" s="150">
        <v>999</v>
      </c>
      <c r="H90" s="169" t="s">
        <v>191</v>
      </c>
      <c r="I90" s="108" t="s">
        <v>20</v>
      </c>
      <c r="J90" s="108" t="s">
        <v>20</v>
      </c>
      <c r="K90" s="108" t="s">
        <v>13</v>
      </c>
      <c r="L90" s="108" t="s">
        <v>13</v>
      </c>
      <c r="M90" s="200" t="str">
        <f t="shared" si="8"/>
        <v>Verba Variavel - Entra no Cálculo da Margem para aposentado e pensionista</v>
      </c>
    </row>
    <row r="91" spans="1:13" ht="22.5" x14ac:dyDescent="0.25">
      <c r="A91" s="74">
        <f>IF(ISERROR(SEARCH(Simulador!$Q$5,E91)),0,1)</f>
        <v>1</v>
      </c>
      <c r="B91" s="74">
        <f t="shared" si="12"/>
        <v>88</v>
      </c>
      <c r="C91" s="75">
        <f t="shared" si="13"/>
        <v>88</v>
      </c>
      <c r="D91" s="106" t="str">
        <f t="shared" si="11"/>
        <v>88</v>
      </c>
      <c r="E91" s="107" t="s">
        <v>212</v>
      </c>
      <c r="F91" s="107" t="s">
        <v>41</v>
      </c>
      <c r="G91" s="150">
        <v>999</v>
      </c>
      <c r="H91" s="169" t="s">
        <v>22</v>
      </c>
      <c r="I91" s="108" t="s">
        <v>13</v>
      </c>
      <c r="J91" s="108" t="s">
        <v>13</v>
      </c>
      <c r="K91" s="108" t="s">
        <v>13</v>
      </c>
      <c r="L91" s="108" t="s">
        <v>13</v>
      </c>
      <c r="M91" s="200" t="str">
        <f t="shared" si="8"/>
        <v>Desconto Obrigatorio - Entra no Cálculo da Margem</v>
      </c>
    </row>
    <row r="92" spans="1:13" ht="22.5" x14ac:dyDescent="0.25">
      <c r="A92" s="74">
        <f>IF(ISERROR(SEARCH(Simulador!$Q$5,E92)),0,1)</f>
        <v>1</v>
      </c>
      <c r="B92" s="74">
        <f t="shared" si="12"/>
        <v>89</v>
      </c>
      <c r="C92" s="75">
        <f t="shared" si="13"/>
        <v>89</v>
      </c>
      <c r="D92" s="106" t="str">
        <f t="shared" si="11"/>
        <v>89</v>
      </c>
      <c r="E92" s="107" t="s">
        <v>186</v>
      </c>
      <c r="F92" s="107" t="s">
        <v>44</v>
      </c>
      <c r="G92" s="150">
        <v>999</v>
      </c>
      <c r="H92" s="169" t="s">
        <v>207</v>
      </c>
      <c r="I92" s="108" t="s">
        <v>13</v>
      </c>
      <c r="J92" s="108" t="s">
        <v>13</v>
      </c>
      <c r="K92" s="108" t="s">
        <v>13</v>
      </c>
      <c r="L92" s="108" t="s">
        <v>13</v>
      </c>
      <c r="M92" s="200" t="str">
        <f t="shared" si="8"/>
        <v>Verba Fixa - Entra no Cálculo da Margem</v>
      </c>
    </row>
    <row r="93" spans="1:13" ht="22.5" x14ac:dyDescent="0.25">
      <c r="A93" s="74">
        <f>IF(ISERROR(SEARCH(Simulador!$Q$5,E93)),0,1)</f>
        <v>1</v>
      </c>
      <c r="B93" s="74">
        <f t="shared" si="12"/>
        <v>90</v>
      </c>
      <c r="C93" s="75">
        <f t="shared" si="13"/>
        <v>90</v>
      </c>
      <c r="D93" s="106" t="str">
        <f t="shared" si="11"/>
        <v>90</v>
      </c>
      <c r="E93" s="107" t="s">
        <v>82</v>
      </c>
      <c r="F93" s="107" t="s">
        <v>42</v>
      </c>
      <c r="G93" s="150">
        <v>999</v>
      </c>
      <c r="H93" s="169" t="s">
        <v>191</v>
      </c>
      <c r="I93" s="108" t="s">
        <v>20</v>
      </c>
      <c r="J93" s="108" t="s">
        <v>20</v>
      </c>
      <c r="K93" s="108" t="s">
        <v>13</v>
      </c>
      <c r="L93" s="108" t="s">
        <v>13</v>
      </c>
      <c r="M93" s="200" t="str">
        <f t="shared" si="8"/>
        <v>Verba Variavel - Entra no Cálculo da Margem para aposentado e pensionista</v>
      </c>
    </row>
    <row r="94" spans="1:13" ht="22.5" x14ac:dyDescent="0.25">
      <c r="A94" s="74">
        <f>IF(ISERROR(SEARCH(Simulador!$Q$5,E94)),0,1)</f>
        <v>1</v>
      </c>
      <c r="B94" s="74">
        <f t="shared" si="12"/>
        <v>91</v>
      </c>
      <c r="C94" s="75">
        <f t="shared" si="13"/>
        <v>91</v>
      </c>
      <c r="D94" s="106" t="str">
        <f t="shared" si="11"/>
        <v>91</v>
      </c>
      <c r="E94" s="107" t="s">
        <v>144</v>
      </c>
      <c r="F94" s="107" t="s">
        <v>42</v>
      </c>
      <c r="G94" s="150">
        <v>999</v>
      </c>
      <c r="H94" s="169" t="s">
        <v>190</v>
      </c>
      <c r="I94" s="108" t="s">
        <v>20</v>
      </c>
      <c r="J94" s="108" t="s">
        <v>20</v>
      </c>
      <c r="K94" s="108" t="s">
        <v>13</v>
      </c>
      <c r="L94" s="108" t="s">
        <v>13</v>
      </c>
      <c r="M94" s="200" t="str">
        <f t="shared" si="8"/>
        <v>Verba Variavel - Entra no Cálculo da Margem para aposentado e pensionista</v>
      </c>
    </row>
    <row r="95" spans="1:13" ht="22.5" x14ac:dyDescent="0.25">
      <c r="A95" s="74">
        <f>IF(ISERROR(SEARCH(Simulador!$Q$5,E95)),0,1)</f>
        <v>1</v>
      </c>
      <c r="B95" s="74">
        <f t="shared" si="12"/>
        <v>92</v>
      </c>
      <c r="C95" s="75">
        <f t="shared" si="13"/>
        <v>92</v>
      </c>
      <c r="D95" s="106" t="str">
        <f t="shared" si="11"/>
        <v>92</v>
      </c>
      <c r="E95" s="107" t="s">
        <v>155</v>
      </c>
      <c r="F95" s="107" t="s">
        <v>44</v>
      </c>
      <c r="G95" s="150">
        <v>999</v>
      </c>
      <c r="H95" s="169" t="s">
        <v>198</v>
      </c>
      <c r="I95" s="108" t="s">
        <v>13</v>
      </c>
      <c r="J95" s="108" t="s">
        <v>13</v>
      </c>
      <c r="K95" s="108" t="s">
        <v>13</v>
      </c>
      <c r="L95" s="108" t="s">
        <v>13</v>
      </c>
      <c r="M95" s="200" t="str">
        <f t="shared" si="8"/>
        <v>Verba Fixa - Entra no Cálculo da Margem</v>
      </c>
    </row>
    <row r="96" spans="1:13" ht="22.5" x14ac:dyDescent="0.25">
      <c r="A96" s="74">
        <f>IF(ISERROR(SEARCH(Simulador!$Q$5,E96)),0,1)</f>
        <v>1</v>
      </c>
      <c r="B96" s="74">
        <f t="shared" si="12"/>
        <v>93</v>
      </c>
      <c r="C96" s="75">
        <f t="shared" si="13"/>
        <v>93</v>
      </c>
      <c r="D96" s="106" t="str">
        <f t="shared" si="11"/>
        <v>93</v>
      </c>
      <c r="E96" s="107" t="s">
        <v>93</v>
      </c>
      <c r="F96" s="107" t="s">
        <v>42</v>
      </c>
      <c r="G96" s="150">
        <v>999</v>
      </c>
      <c r="H96" s="169" t="s">
        <v>191</v>
      </c>
      <c r="I96" s="108" t="s">
        <v>20</v>
      </c>
      <c r="J96" s="108" t="s">
        <v>20</v>
      </c>
      <c r="K96" s="108" t="s">
        <v>13</v>
      </c>
      <c r="L96" s="108" t="s">
        <v>13</v>
      </c>
      <c r="M96" s="200" t="str">
        <f t="shared" si="8"/>
        <v>Verba Variavel - Entra no Cálculo da Margem para aposentado e pensionista</v>
      </c>
    </row>
    <row r="97" spans="1:13" ht="22.5" x14ac:dyDescent="0.25">
      <c r="A97" s="74">
        <f>IF(ISERROR(SEARCH(Simulador!$Q$5,E97)),0,1)</f>
        <v>1</v>
      </c>
      <c r="B97" s="74">
        <f t="shared" si="12"/>
        <v>94</v>
      </c>
      <c r="C97" s="75">
        <f t="shared" si="13"/>
        <v>94</v>
      </c>
      <c r="D97" s="106" t="str">
        <f t="shared" si="11"/>
        <v>94</v>
      </c>
      <c r="E97" s="107" t="s">
        <v>117</v>
      </c>
      <c r="F97" s="107" t="s">
        <v>42</v>
      </c>
      <c r="G97" s="150">
        <v>999</v>
      </c>
      <c r="H97" s="169" t="s">
        <v>191</v>
      </c>
      <c r="I97" s="108" t="s">
        <v>20</v>
      </c>
      <c r="J97" s="108" t="s">
        <v>20</v>
      </c>
      <c r="K97" s="108" t="s">
        <v>13</v>
      </c>
      <c r="L97" s="108" t="s">
        <v>13</v>
      </c>
      <c r="M97" s="200" t="str">
        <f t="shared" si="8"/>
        <v>Verba Variavel - Entra no Cálculo da Margem para aposentado e pensionista</v>
      </c>
    </row>
    <row r="98" spans="1:13" ht="22.5" x14ac:dyDescent="0.25">
      <c r="A98" s="74">
        <f>IF(ISERROR(SEARCH(Simulador!$Q$5,E98)),0,1)</f>
        <v>1</v>
      </c>
      <c r="B98" s="74">
        <f t="shared" si="12"/>
        <v>95</v>
      </c>
      <c r="C98" s="75">
        <f t="shared" si="13"/>
        <v>95</v>
      </c>
      <c r="D98" s="106" t="str">
        <f t="shared" si="11"/>
        <v>95</v>
      </c>
      <c r="E98" s="107" t="s">
        <v>185</v>
      </c>
      <c r="F98" s="107" t="s">
        <v>42</v>
      </c>
      <c r="G98" s="150">
        <v>999</v>
      </c>
      <c r="H98" s="169" t="s">
        <v>191</v>
      </c>
      <c r="I98" s="108" t="s">
        <v>20</v>
      </c>
      <c r="J98" s="108" t="s">
        <v>20</v>
      </c>
      <c r="K98" s="108" t="s">
        <v>13</v>
      </c>
      <c r="L98" s="108" t="s">
        <v>13</v>
      </c>
      <c r="M98" s="200" t="str">
        <f t="shared" si="8"/>
        <v>Verba Variavel - Entra no Cálculo da Margem para aposentado e pensionista</v>
      </c>
    </row>
    <row r="99" spans="1:13" ht="22.5" x14ac:dyDescent="0.25">
      <c r="A99" s="74">
        <f>IF(ISERROR(SEARCH(Simulador!$Q$5,E99)),0,1)</f>
        <v>1</v>
      </c>
      <c r="B99" s="74">
        <f t="shared" si="12"/>
        <v>96</v>
      </c>
      <c r="C99" s="75">
        <f t="shared" si="13"/>
        <v>96</v>
      </c>
      <c r="D99" s="106" t="str">
        <f t="shared" si="11"/>
        <v>96</v>
      </c>
      <c r="E99" s="107" t="s">
        <v>94</v>
      </c>
      <c r="F99" s="107" t="s">
        <v>42</v>
      </c>
      <c r="G99" s="150">
        <v>999</v>
      </c>
      <c r="H99" s="169" t="s">
        <v>191</v>
      </c>
      <c r="I99" s="108" t="s">
        <v>20</v>
      </c>
      <c r="J99" s="108" t="s">
        <v>20</v>
      </c>
      <c r="K99" s="108" t="s">
        <v>13</v>
      </c>
      <c r="L99" s="108" t="s">
        <v>13</v>
      </c>
      <c r="M99" s="200" t="str">
        <f t="shared" si="8"/>
        <v>Verba Variavel - Entra no Cálculo da Margem para aposentado e pensionista</v>
      </c>
    </row>
    <row r="100" spans="1:13" ht="22.5" x14ac:dyDescent="0.25">
      <c r="A100" s="74">
        <f>IF(ISERROR(SEARCH(Simulador!$Q$5,E100)),0,1)</f>
        <v>1</v>
      </c>
      <c r="B100" s="74">
        <f t="shared" si="12"/>
        <v>97</v>
      </c>
      <c r="C100" s="75">
        <f t="shared" si="13"/>
        <v>97</v>
      </c>
      <c r="D100" s="106" t="str">
        <f t="shared" si="11"/>
        <v>97</v>
      </c>
      <c r="E100" s="107" t="s">
        <v>116</v>
      </c>
      <c r="F100" s="107" t="s">
        <v>42</v>
      </c>
      <c r="G100" s="150">
        <v>999</v>
      </c>
      <c r="H100" s="169" t="s">
        <v>191</v>
      </c>
      <c r="I100" s="108" t="s">
        <v>20</v>
      </c>
      <c r="J100" s="108" t="s">
        <v>20</v>
      </c>
      <c r="K100" s="108" t="s">
        <v>13</v>
      </c>
      <c r="L100" s="108" t="s">
        <v>13</v>
      </c>
      <c r="M100" s="200" t="str">
        <f t="shared" si="8"/>
        <v>Verba Variavel - Entra no Cálculo da Margem para aposentado e pensionista</v>
      </c>
    </row>
    <row r="101" spans="1:13" ht="22.5" x14ac:dyDescent="0.25">
      <c r="A101" s="74">
        <f>IF(ISERROR(SEARCH(Simulador!$Q$5,E101)),0,1)</f>
        <v>1</v>
      </c>
      <c r="B101" s="74">
        <f t="shared" si="12"/>
        <v>98</v>
      </c>
      <c r="C101" s="75">
        <f t="shared" si="13"/>
        <v>98</v>
      </c>
      <c r="D101" s="106" t="str">
        <f t="shared" si="11"/>
        <v>98</v>
      </c>
      <c r="E101" s="107" t="s">
        <v>95</v>
      </c>
      <c r="F101" s="107" t="s">
        <v>42</v>
      </c>
      <c r="G101" s="150">
        <v>999</v>
      </c>
      <c r="H101" s="169" t="s">
        <v>191</v>
      </c>
      <c r="I101" s="108" t="s">
        <v>20</v>
      </c>
      <c r="J101" s="108" t="s">
        <v>20</v>
      </c>
      <c r="K101" s="108" t="s">
        <v>13</v>
      </c>
      <c r="L101" s="108" t="s">
        <v>13</v>
      </c>
      <c r="M101" s="200" t="str">
        <f t="shared" si="8"/>
        <v>Verba Variavel - Entra no Cálculo da Margem para aposentado e pensionista</v>
      </c>
    </row>
    <row r="102" spans="1:13" ht="22.5" x14ac:dyDescent="0.25">
      <c r="A102" s="74">
        <f>IF(ISERROR(SEARCH(Simulador!$Q$5,E102)),0,1)</f>
        <v>1</v>
      </c>
      <c r="B102" s="74">
        <f t="shared" si="12"/>
        <v>99</v>
      </c>
      <c r="C102" s="75">
        <f t="shared" si="13"/>
        <v>99</v>
      </c>
      <c r="D102" s="106" t="str">
        <f t="shared" si="11"/>
        <v>99</v>
      </c>
      <c r="E102" s="107" t="s">
        <v>115</v>
      </c>
      <c r="F102" s="107" t="s">
        <v>42</v>
      </c>
      <c r="G102" s="150">
        <v>999</v>
      </c>
      <c r="H102" s="169" t="s">
        <v>191</v>
      </c>
      <c r="I102" s="108" t="s">
        <v>20</v>
      </c>
      <c r="J102" s="108" t="s">
        <v>20</v>
      </c>
      <c r="K102" s="108" t="s">
        <v>13</v>
      </c>
      <c r="L102" s="108" t="s">
        <v>13</v>
      </c>
      <c r="M102" s="200" t="str">
        <f t="shared" si="8"/>
        <v>Verba Variavel - Entra no Cálculo da Margem para aposentado e pensionista</v>
      </c>
    </row>
    <row r="103" spans="1:13" ht="22.5" x14ac:dyDescent="0.25">
      <c r="A103" s="74">
        <f>IF(ISERROR(SEARCH(Simulador!$Q$5,E103)),0,1)</f>
        <v>1</v>
      </c>
      <c r="B103" s="74">
        <f t="shared" si="12"/>
        <v>100</v>
      </c>
      <c r="C103" s="75">
        <f t="shared" si="13"/>
        <v>100</v>
      </c>
      <c r="D103" s="106" t="str">
        <f t="shared" si="11"/>
        <v>100</v>
      </c>
      <c r="E103" s="107" t="s">
        <v>102</v>
      </c>
      <c r="F103" s="107" t="s">
        <v>42</v>
      </c>
      <c r="G103" s="150">
        <v>999</v>
      </c>
      <c r="H103" s="169" t="s">
        <v>191</v>
      </c>
      <c r="I103" s="150" t="s">
        <v>20</v>
      </c>
      <c r="J103" s="108" t="s">
        <v>20</v>
      </c>
      <c r="K103" s="108" t="s">
        <v>13</v>
      </c>
      <c r="L103" s="108" t="s">
        <v>13</v>
      </c>
      <c r="M103" s="200" t="str">
        <f t="shared" si="8"/>
        <v>Verba Variavel - Entra no Cálculo da Margem para aposentado e pensionista</v>
      </c>
    </row>
    <row r="104" spans="1:13" ht="22.5" x14ac:dyDescent="0.25">
      <c r="A104" s="74">
        <f>IF(ISERROR(SEARCH(Simulador!$Q$5,E104)),0,1)</f>
        <v>1</v>
      </c>
      <c r="B104" s="74">
        <f t="shared" si="12"/>
        <v>101</v>
      </c>
      <c r="C104" s="75">
        <f t="shared" si="13"/>
        <v>101</v>
      </c>
      <c r="D104" s="106" t="str">
        <f t="shared" si="11"/>
        <v>101</v>
      </c>
      <c r="E104" s="107" t="s">
        <v>92</v>
      </c>
      <c r="F104" s="107" t="s">
        <v>42</v>
      </c>
      <c r="G104" s="150">
        <v>999</v>
      </c>
      <c r="H104" s="169" t="s">
        <v>191</v>
      </c>
      <c r="I104" s="108" t="s">
        <v>20</v>
      </c>
      <c r="J104" s="108" t="s">
        <v>20</v>
      </c>
      <c r="K104" s="108" t="s">
        <v>13</v>
      </c>
      <c r="L104" s="108" t="s">
        <v>13</v>
      </c>
      <c r="M104" s="200" t="str">
        <f t="shared" si="8"/>
        <v>Verba Variavel - Entra no Cálculo da Margem para aposentado e pensionista</v>
      </c>
    </row>
    <row r="105" spans="1:13" ht="22.5" x14ac:dyDescent="0.25">
      <c r="A105" s="74">
        <f>IF(ISERROR(SEARCH(Simulador!$Q$5,E105)),0,1)</f>
        <v>1</v>
      </c>
      <c r="B105" s="74">
        <f t="shared" si="12"/>
        <v>102</v>
      </c>
      <c r="C105" s="75">
        <f t="shared" si="13"/>
        <v>102</v>
      </c>
      <c r="D105" s="106" t="str">
        <f t="shared" si="11"/>
        <v>102</v>
      </c>
      <c r="E105" s="107" t="s">
        <v>101</v>
      </c>
      <c r="F105" s="107" t="s">
        <v>42</v>
      </c>
      <c r="G105" s="150">
        <v>999</v>
      </c>
      <c r="H105" s="169" t="s">
        <v>191</v>
      </c>
      <c r="I105" s="108" t="s">
        <v>20</v>
      </c>
      <c r="J105" s="108" t="s">
        <v>20</v>
      </c>
      <c r="K105" s="108" t="s">
        <v>13</v>
      </c>
      <c r="L105" s="108" t="s">
        <v>13</v>
      </c>
      <c r="M105" s="200" t="str">
        <f t="shared" si="8"/>
        <v>Verba Variavel - Entra no Cálculo da Margem para aposentado e pensionista</v>
      </c>
    </row>
    <row r="106" spans="1:13" ht="22.5" x14ac:dyDescent="0.25">
      <c r="A106" s="74">
        <f>IF(ISERROR(SEARCH(Simulador!$Q$5,E106)),0,1)</f>
        <v>1</v>
      </c>
      <c r="B106" s="74">
        <f t="shared" si="12"/>
        <v>103</v>
      </c>
      <c r="C106" s="75">
        <f t="shared" si="13"/>
        <v>103</v>
      </c>
      <c r="D106" s="106" t="str">
        <f t="shared" si="11"/>
        <v>103</v>
      </c>
      <c r="E106" s="107" t="s">
        <v>123</v>
      </c>
      <c r="F106" s="107" t="s">
        <v>42</v>
      </c>
      <c r="G106" s="150">
        <v>999</v>
      </c>
      <c r="H106" s="169" t="s">
        <v>191</v>
      </c>
      <c r="I106" s="108" t="s">
        <v>20</v>
      </c>
      <c r="J106" s="108" t="s">
        <v>20</v>
      </c>
      <c r="K106" s="108" t="s">
        <v>13</v>
      </c>
      <c r="L106" s="108" t="s">
        <v>13</v>
      </c>
      <c r="M106" s="200" t="str">
        <f t="shared" si="8"/>
        <v>Verba Variavel - Entra no Cálculo da Margem para aposentado e pensionista</v>
      </c>
    </row>
    <row r="107" spans="1:13" ht="22.5" x14ac:dyDescent="0.25">
      <c r="A107" s="74">
        <f>IF(ISERROR(SEARCH(Simulador!$Q$5,E107)),0,1)</f>
        <v>1</v>
      </c>
      <c r="B107" s="74">
        <f t="shared" si="12"/>
        <v>104</v>
      </c>
      <c r="C107" s="75">
        <f t="shared" si="13"/>
        <v>104</v>
      </c>
      <c r="D107" s="106" t="str">
        <f t="shared" si="11"/>
        <v>104</v>
      </c>
      <c r="E107" s="107" t="s">
        <v>96</v>
      </c>
      <c r="F107" s="107" t="s">
        <v>42</v>
      </c>
      <c r="G107" s="150">
        <v>999</v>
      </c>
      <c r="H107" s="169" t="s">
        <v>191</v>
      </c>
      <c r="I107" s="108" t="s">
        <v>20</v>
      </c>
      <c r="J107" s="108" t="s">
        <v>20</v>
      </c>
      <c r="K107" s="108" t="s">
        <v>13</v>
      </c>
      <c r="L107" s="108" t="s">
        <v>13</v>
      </c>
      <c r="M107" s="200" t="str">
        <f t="shared" si="8"/>
        <v>Verba Variavel - Entra no Cálculo da Margem para aposentado e pensionista</v>
      </c>
    </row>
    <row r="108" spans="1:13" ht="22.5" x14ac:dyDescent="0.25">
      <c r="A108" s="74">
        <f>IF(ISERROR(SEARCH(Simulador!$Q$5,E108)),0,1)</f>
        <v>1</v>
      </c>
      <c r="B108" s="74">
        <f t="shared" si="12"/>
        <v>105</v>
      </c>
      <c r="C108" s="75">
        <f t="shared" si="13"/>
        <v>105</v>
      </c>
      <c r="D108" s="106" t="str">
        <f t="shared" si="11"/>
        <v>105</v>
      </c>
      <c r="E108" s="107" t="s">
        <v>90</v>
      </c>
      <c r="F108" s="107" t="s">
        <v>42</v>
      </c>
      <c r="G108" s="150">
        <v>999</v>
      </c>
      <c r="H108" s="169" t="s">
        <v>191</v>
      </c>
      <c r="I108" s="150" t="s">
        <v>20</v>
      </c>
      <c r="J108" s="108" t="s">
        <v>20</v>
      </c>
      <c r="K108" s="108" t="s">
        <v>13</v>
      </c>
      <c r="L108" s="108" t="s">
        <v>13</v>
      </c>
      <c r="M108" s="200" t="str">
        <f t="shared" si="8"/>
        <v>Verba Variavel - Entra no Cálculo da Margem para aposentado e pensionista</v>
      </c>
    </row>
    <row r="109" spans="1:13" ht="22.5" x14ac:dyDescent="0.25">
      <c r="A109" s="74">
        <f>IF(ISERROR(SEARCH(Simulador!$Q$5,E109)),0,1)</f>
        <v>1</v>
      </c>
      <c r="B109" s="74">
        <f t="shared" ref="B109" si="14">IF(A109=0,B108,A109+B108)</f>
        <v>106</v>
      </c>
      <c r="C109" s="75">
        <f t="shared" ref="C109" si="15">IF(A109=0,0,B109)</f>
        <v>106</v>
      </c>
      <c r="D109" s="106" t="str">
        <f t="shared" si="11"/>
        <v>106</v>
      </c>
      <c r="E109" s="107" t="s">
        <v>89</v>
      </c>
      <c r="F109" s="107" t="s">
        <v>42</v>
      </c>
      <c r="G109" s="150">
        <v>999</v>
      </c>
      <c r="H109" s="169" t="s">
        <v>191</v>
      </c>
      <c r="I109" s="108" t="s">
        <v>20</v>
      </c>
      <c r="J109" s="108" t="s">
        <v>20</v>
      </c>
      <c r="K109" s="108" t="s">
        <v>13</v>
      </c>
      <c r="L109" s="108" t="s">
        <v>13</v>
      </c>
      <c r="M109" s="200" t="str">
        <f t="shared" si="8"/>
        <v>Verba Variavel - Entra no Cálculo da Margem para aposentado e pensionista</v>
      </c>
    </row>
    <row r="110" spans="1:13" ht="22.5" x14ac:dyDescent="0.25">
      <c r="A110" s="74">
        <f>IF(ISERROR(SEARCH(Simulador!$Q$5,E110)),0,1)</f>
        <v>1</v>
      </c>
      <c r="B110" s="74">
        <f t="shared" ref="B110" si="16">IF(A110=0,B109,A110+B109)</f>
        <v>107</v>
      </c>
      <c r="C110" s="75">
        <f t="shared" ref="C110" si="17">IF(A110=0,0,B110)</f>
        <v>107</v>
      </c>
      <c r="D110" s="106" t="str">
        <f t="shared" si="11"/>
        <v>107</v>
      </c>
      <c r="E110" s="107" t="s">
        <v>100</v>
      </c>
      <c r="F110" s="107" t="s">
        <v>42</v>
      </c>
      <c r="G110" s="150">
        <v>999</v>
      </c>
      <c r="H110" s="169" t="s">
        <v>191</v>
      </c>
      <c r="I110" s="108" t="s">
        <v>20</v>
      </c>
      <c r="J110" s="108" t="s">
        <v>20</v>
      </c>
      <c r="K110" s="108" t="s">
        <v>13</v>
      </c>
      <c r="L110" s="108" t="s">
        <v>13</v>
      </c>
      <c r="M110" s="200" t="str">
        <f t="shared" si="8"/>
        <v>Verba Variavel - Entra no Cálculo da Margem para aposentado e pensionista</v>
      </c>
    </row>
    <row r="111" spans="1:13" ht="22.5" x14ac:dyDescent="0.25">
      <c r="A111" s="74">
        <f>IF(ISERROR(SEARCH(Simulador!$Q$5,E111)),0,1)</f>
        <v>1</v>
      </c>
      <c r="B111" s="74">
        <f t="shared" ref="B111:B116" si="18">IF(A111=0,B110,A111+B110)</f>
        <v>108</v>
      </c>
      <c r="C111" s="75">
        <f t="shared" ref="C111:C116" si="19">IF(A111=0,0,B111)</f>
        <v>108</v>
      </c>
      <c r="D111" s="106" t="str">
        <f t="shared" si="11"/>
        <v>108</v>
      </c>
      <c r="E111" s="107" t="s">
        <v>103</v>
      </c>
      <c r="F111" s="107" t="s">
        <v>42</v>
      </c>
      <c r="G111" s="150">
        <v>999</v>
      </c>
      <c r="H111" s="169" t="s">
        <v>191</v>
      </c>
      <c r="I111" s="150" t="s">
        <v>20</v>
      </c>
      <c r="J111" s="108" t="s">
        <v>20</v>
      </c>
      <c r="K111" s="108" t="s">
        <v>13</v>
      </c>
      <c r="L111" s="108" t="s">
        <v>13</v>
      </c>
      <c r="M111" s="200" t="str">
        <f t="shared" si="8"/>
        <v>Verba Variavel - Entra no Cálculo da Margem para aposentado e pensionista</v>
      </c>
    </row>
    <row r="112" spans="1:13" ht="22.5" x14ac:dyDescent="0.25">
      <c r="A112" s="74">
        <f>IF(ISERROR(SEARCH(Simulador!$Q$5,E112)),0,1)</f>
        <v>1</v>
      </c>
      <c r="B112" s="74">
        <f t="shared" si="18"/>
        <v>109</v>
      </c>
      <c r="C112" s="75">
        <f t="shared" si="19"/>
        <v>109</v>
      </c>
      <c r="D112" s="106" t="str">
        <f t="shared" si="11"/>
        <v>109</v>
      </c>
      <c r="E112" s="107" t="s">
        <v>97</v>
      </c>
      <c r="F112" s="107" t="s">
        <v>42</v>
      </c>
      <c r="G112" s="150">
        <v>999</v>
      </c>
      <c r="H112" s="169" t="s">
        <v>191</v>
      </c>
      <c r="I112" s="150" t="s">
        <v>20</v>
      </c>
      <c r="J112" s="108" t="s">
        <v>20</v>
      </c>
      <c r="K112" s="108" t="s">
        <v>13</v>
      </c>
      <c r="L112" s="108" t="s">
        <v>13</v>
      </c>
      <c r="M112" s="200" t="str">
        <f t="shared" si="8"/>
        <v>Verba Variavel - Entra no Cálculo da Margem para aposentado e pensionista</v>
      </c>
    </row>
    <row r="113" spans="1:13" ht="22.5" x14ac:dyDescent="0.25">
      <c r="A113" s="74">
        <f>IF(ISERROR(SEARCH(Simulador!$Q$5,E113)),0,1)</f>
        <v>1</v>
      </c>
      <c r="B113" s="74">
        <f t="shared" si="18"/>
        <v>110</v>
      </c>
      <c r="C113" s="75">
        <f t="shared" si="19"/>
        <v>110</v>
      </c>
      <c r="D113" s="106" t="str">
        <f t="shared" si="11"/>
        <v>110</v>
      </c>
      <c r="E113" s="107" t="s">
        <v>98</v>
      </c>
      <c r="F113" s="107" t="s">
        <v>42</v>
      </c>
      <c r="G113" s="150">
        <v>999</v>
      </c>
      <c r="H113" s="169" t="s">
        <v>191</v>
      </c>
      <c r="I113" s="108" t="s">
        <v>20</v>
      </c>
      <c r="J113" s="108" t="s">
        <v>20</v>
      </c>
      <c r="K113" s="108" t="s">
        <v>13</v>
      </c>
      <c r="L113" s="108" t="s">
        <v>13</v>
      </c>
      <c r="M113" s="200" t="str">
        <f t="shared" si="8"/>
        <v>Verba Variavel - Entra no Cálculo da Margem para aposentado e pensionista</v>
      </c>
    </row>
    <row r="114" spans="1:13" ht="22.5" x14ac:dyDescent="0.25">
      <c r="A114" s="74">
        <f>IF(ISERROR(SEARCH(Simulador!$Q$5,E114)),0,1)</f>
        <v>1</v>
      </c>
      <c r="B114" s="74">
        <f t="shared" si="18"/>
        <v>111</v>
      </c>
      <c r="C114" s="75">
        <f t="shared" si="19"/>
        <v>111</v>
      </c>
      <c r="D114" s="106" t="str">
        <f t="shared" si="11"/>
        <v>111</v>
      </c>
      <c r="E114" s="107" t="s">
        <v>99</v>
      </c>
      <c r="F114" s="107" t="s">
        <v>42</v>
      </c>
      <c r="G114" s="150">
        <v>999</v>
      </c>
      <c r="H114" s="169" t="s">
        <v>191</v>
      </c>
      <c r="I114" s="108" t="s">
        <v>20</v>
      </c>
      <c r="J114" s="108" t="s">
        <v>20</v>
      </c>
      <c r="K114" s="108" t="s">
        <v>13</v>
      </c>
      <c r="L114" s="108" t="s">
        <v>13</v>
      </c>
      <c r="M114" s="200" t="str">
        <f t="shared" si="8"/>
        <v>Verba Variavel - Entra no Cálculo da Margem para aposentado e pensionista</v>
      </c>
    </row>
    <row r="115" spans="1:13" ht="22.5" x14ac:dyDescent="0.25">
      <c r="A115" s="74">
        <f>IF(ISERROR(SEARCH(Simulador!$Q$5,E115)),0,1)</f>
        <v>1</v>
      </c>
      <c r="B115" s="74">
        <f t="shared" si="18"/>
        <v>112</v>
      </c>
      <c r="C115" s="75">
        <f t="shared" si="19"/>
        <v>112</v>
      </c>
      <c r="D115" s="106" t="str">
        <f t="shared" si="11"/>
        <v>112</v>
      </c>
      <c r="E115" s="107" t="s">
        <v>91</v>
      </c>
      <c r="F115" s="107" t="s">
        <v>42</v>
      </c>
      <c r="G115" s="150">
        <v>999</v>
      </c>
      <c r="H115" s="169" t="s">
        <v>191</v>
      </c>
      <c r="I115" s="150" t="s">
        <v>20</v>
      </c>
      <c r="J115" s="108" t="s">
        <v>20</v>
      </c>
      <c r="K115" s="108" t="s">
        <v>13</v>
      </c>
      <c r="L115" s="108" t="s">
        <v>13</v>
      </c>
      <c r="M115" s="200" t="str">
        <f t="shared" si="8"/>
        <v>Verba Variavel - Entra no Cálculo da Margem para aposentado e pensionista</v>
      </c>
    </row>
    <row r="116" spans="1:13" ht="22.5" x14ac:dyDescent="0.25">
      <c r="A116" s="74">
        <f>IF(ISERROR(SEARCH(Simulador!$Q$5,E116)),0,1)</f>
        <v>1</v>
      </c>
      <c r="B116" s="74">
        <f t="shared" si="18"/>
        <v>113</v>
      </c>
      <c r="C116" s="75">
        <f t="shared" si="19"/>
        <v>113</v>
      </c>
      <c r="D116" s="106" t="str">
        <f t="shared" si="11"/>
        <v>113</v>
      </c>
      <c r="E116" s="107" t="s">
        <v>112</v>
      </c>
      <c r="F116" s="107" t="s">
        <v>42</v>
      </c>
      <c r="G116" s="150">
        <v>999</v>
      </c>
      <c r="H116" s="169" t="s">
        <v>191</v>
      </c>
      <c r="I116" s="108" t="s">
        <v>20</v>
      </c>
      <c r="J116" s="108" t="s">
        <v>20</v>
      </c>
      <c r="K116" s="108" t="s">
        <v>13</v>
      </c>
      <c r="L116" s="108" t="s">
        <v>13</v>
      </c>
      <c r="M116" s="200" t="str">
        <f t="shared" si="8"/>
        <v>Verba Variavel - Entra no Cálculo da Margem para aposentado e pensionista</v>
      </c>
    </row>
    <row r="117" spans="1:13" ht="22.5" x14ac:dyDescent="0.25">
      <c r="A117" s="74">
        <f>IF(ISERROR(SEARCH(Simulador!$Q$5,E117)),0,1)</f>
        <v>1</v>
      </c>
      <c r="B117" s="74">
        <f t="shared" ref="B117:B144" si="20">IF(A117=0,B116,A117+B116)</f>
        <v>114</v>
      </c>
      <c r="C117" s="75">
        <f t="shared" ref="C117:C144" si="21">IF(A117=0,0,B117)</f>
        <v>114</v>
      </c>
      <c r="D117" s="106" t="str">
        <f t="shared" si="11"/>
        <v>114</v>
      </c>
      <c r="E117" s="107" t="s">
        <v>113</v>
      </c>
      <c r="F117" s="107" t="s">
        <v>42</v>
      </c>
      <c r="G117" s="150">
        <v>999</v>
      </c>
      <c r="H117" s="169" t="s">
        <v>191</v>
      </c>
      <c r="I117" s="150" t="s">
        <v>20</v>
      </c>
      <c r="J117" s="108" t="s">
        <v>20</v>
      </c>
      <c r="K117" s="108" t="s">
        <v>13</v>
      </c>
      <c r="L117" s="108" t="s">
        <v>13</v>
      </c>
      <c r="M117" s="200" t="str">
        <f t="shared" si="8"/>
        <v>Verba Variavel - Entra no Cálculo da Margem para aposentado e pensionista</v>
      </c>
    </row>
    <row r="118" spans="1:13" ht="22.5" x14ac:dyDescent="0.25">
      <c r="A118" s="74">
        <f>IF(ISERROR(SEARCH(Simulador!$Q$5,E118)),0,1)</f>
        <v>1</v>
      </c>
      <c r="B118" s="74">
        <f t="shared" si="20"/>
        <v>115</v>
      </c>
      <c r="C118" s="75">
        <f t="shared" si="21"/>
        <v>115</v>
      </c>
      <c r="D118" s="106" t="str">
        <f t="shared" si="11"/>
        <v>115</v>
      </c>
      <c r="E118" s="107" t="s">
        <v>121</v>
      </c>
      <c r="F118" s="107" t="s">
        <v>42</v>
      </c>
      <c r="G118" s="150">
        <v>999</v>
      </c>
      <c r="H118" s="169" t="s">
        <v>191</v>
      </c>
      <c r="I118" s="150" t="s">
        <v>20</v>
      </c>
      <c r="J118" s="108" t="s">
        <v>20</v>
      </c>
      <c r="K118" s="108" t="s">
        <v>13</v>
      </c>
      <c r="L118" s="108" t="s">
        <v>13</v>
      </c>
      <c r="M118" s="200" t="str">
        <f t="shared" si="8"/>
        <v>Verba Variavel - Entra no Cálculo da Margem para aposentado e pensionista</v>
      </c>
    </row>
    <row r="119" spans="1:13" ht="22.5" x14ac:dyDescent="0.25">
      <c r="A119" s="74">
        <f>IF(ISERROR(SEARCH(Simulador!$Q$5,E119)),0,1)</f>
        <v>1</v>
      </c>
      <c r="B119" s="74">
        <f t="shared" si="20"/>
        <v>116</v>
      </c>
      <c r="C119" s="75">
        <f t="shared" si="21"/>
        <v>116</v>
      </c>
      <c r="D119" s="106" t="str">
        <f t="shared" si="11"/>
        <v>116</v>
      </c>
      <c r="E119" s="107" t="s">
        <v>105</v>
      </c>
      <c r="F119" s="107" t="s">
        <v>42</v>
      </c>
      <c r="G119" s="150">
        <v>999</v>
      </c>
      <c r="H119" s="169" t="s">
        <v>191</v>
      </c>
      <c r="I119" s="150" t="s">
        <v>20</v>
      </c>
      <c r="J119" s="108" t="s">
        <v>20</v>
      </c>
      <c r="K119" s="108" t="s">
        <v>13</v>
      </c>
      <c r="L119" s="108" t="s">
        <v>13</v>
      </c>
      <c r="M119" s="200" t="str">
        <f t="shared" si="8"/>
        <v>Verba Variavel - Entra no Cálculo da Margem para aposentado e pensionista</v>
      </c>
    </row>
    <row r="120" spans="1:13" ht="22.5" x14ac:dyDescent="0.25">
      <c r="A120" s="74">
        <f>IF(ISERROR(SEARCH(Simulador!$Q$5,E120)),0,1)</f>
        <v>1</v>
      </c>
      <c r="B120" s="74">
        <f t="shared" si="20"/>
        <v>117</v>
      </c>
      <c r="C120" s="75">
        <f t="shared" si="21"/>
        <v>117</v>
      </c>
      <c r="D120" s="106" t="str">
        <f t="shared" si="11"/>
        <v>117</v>
      </c>
      <c r="E120" s="107" t="s">
        <v>106</v>
      </c>
      <c r="F120" s="107" t="s">
        <v>42</v>
      </c>
      <c r="G120" s="150">
        <v>999</v>
      </c>
      <c r="H120" s="169" t="s">
        <v>191</v>
      </c>
      <c r="I120" s="108" t="s">
        <v>20</v>
      </c>
      <c r="J120" s="108" t="s">
        <v>20</v>
      </c>
      <c r="K120" s="108" t="s">
        <v>13</v>
      </c>
      <c r="L120" s="108" t="s">
        <v>13</v>
      </c>
      <c r="M120" s="200" t="str">
        <f t="shared" si="8"/>
        <v>Verba Variavel - Entra no Cálculo da Margem para aposentado e pensionista</v>
      </c>
    </row>
    <row r="121" spans="1:13" ht="22.5" x14ac:dyDescent="0.25">
      <c r="A121" s="74">
        <f>IF(ISERROR(SEARCH(Simulador!$Q$5,E121)),0,1)</f>
        <v>1</v>
      </c>
      <c r="B121" s="74">
        <f t="shared" si="20"/>
        <v>118</v>
      </c>
      <c r="C121" s="75">
        <f t="shared" si="21"/>
        <v>118</v>
      </c>
      <c r="D121" s="106" t="str">
        <f t="shared" si="11"/>
        <v>118</v>
      </c>
      <c r="E121" s="107" t="s">
        <v>124</v>
      </c>
      <c r="F121" s="107" t="s">
        <v>42</v>
      </c>
      <c r="G121" s="150">
        <v>999</v>
      </c>
      <c r="H121" s="169" t="s">
        <v>191</v>
      </c>
      <c r="I121" s="108" t="s">
        <v>20</v>
      </c>
      <c r="J121" s="108" t="s">
        <v>20</v>
      </c>
      <c r="K121" s="108" t="s">
        <v>13</v>
      </c>
      <c r="L121" s="108" t="s">
        <v>13</v>
      </c>
      <c r="M121" s="200" t="str">
        <f t="shared" si="8"/>
        <v>Verba Variavel - Entra no Cálculo da Margem para aposentado e pensionista</v>
      </c>
    </row>
    <row r="122" spans="1:13" ht="22.5" x14ac:dyDescent="0.25">
      <c r="A122" s="74">
        <f>IF(ISERROR(SEARCH(Simulador!$Q$5,E122)),0,1)</f>
        <v>1</v>
      </c>
      <c r="B122" s="74">
        <f t="shared" si="20"/>
        <v>119</v>
      </c>
      <c r="C122" s="75">
        <f t="shared" si="21"/>
        <v>119</v>
      </c>
      <c r="D122" s="106" t="str">
        <f t="shared" si="11"/>
        <v>119</v>
      </c>
      <c r="E122" s="107" t="s">
        <v>107</v>
      </c>
      <c r="F122" s="107" t="s">
        <v>42</v>
      </c>
      <c r="G122" s="150">
        <v>999</v>
      </c>
      <c r="H122" s="169" t="s">
        <v>191</v>
      </c>
      <c r="I122" s="150" t="s">
        <v>20</v>
      </c>
      <c r="J122" s="108" t="s">
        <v>20</v>
      </c>
      <c r="K122" s="150" t="s">
        <v>13</v>
      </c>
      <c r="L122" s="150" t="s">
        <v>13</v>
      </c>
      <c r="M122" s="200" t="str">
        <f t="shared" si="8"/>
        <v>Verba Variavel - Entra no Cálculo da Margem para aposentado e pensionista</v>
      </c>
    </row>
    <row r="123" spans="1:13" ht="22.5" x14ac:dyDescent="0.25">
      <c r="A123" s="74">
        <f>IF(ISERROR(SEARCH(Simulador!$Q$5,E123)),0,1)</f>
        <v>1</v>
      </c>
      <c r="B123" s="74">
        <f t="shared" si="20"/>
        <v>120</v>
      </c>
      <c r="C123" s="75">
        <f t="shared" si="21"/>
        <v>120</v>
      </c>
      <c r="D123" s="106" t="str">
        <f t="shared" si="11"/>
        <v>120</v>
      </c>
      <c r="E123" s="107" t="s">
        <v>122</v>
      </c>
      <c r="F123" s="107" t="s">
        <v>42</v>
      </c>
      <c r="G123" s="150">
        <v>999</v>
      </c>
      <c r="H123" s="169" t="s">
        <v>191</v>
      </c>
      <c r="I123" s="150" t="s">
        <v>20</v>
      </c>
      <c r="J123" s="108" t="s">
        <v>20</v>
      </c>
      <c r="K123" s="150" t="s">
        <v>13</v>
      </c>
      <c r="L123" s="150" t="s">
        <v>13</v>
      </c>
      <c r="M123" s="200" t="str">
        <f t="shared" si="8"/>
        <v>Verba Variavel - Entra no Cálculo da Margem para aposentado e pensionista</v>
      </c>
    </row>
    <row r="124" spans="1:13" ht="22.5" x14ac:dyDescent="0.25">
      <c r="A124" s="74">
        <f>IF(ISERROR(SEARCH(Simulador!$Q$5,E124)),0,1)</f>
        <v>1</v>
      </c>
      <c r="B124" s="74">
        <f t="shared" si="20"/>
        <v>121</v>
      </c>
      <c r="C124" s="75">
        <f t="shared" si="21"/>
        <v>121</v>
      </c>
      <c r="D124" s="106" t="str">
        <f t="shared" si="11"/>
        <v>121</v>
      </c>
      <c r="E124" s="107" t="s">
        <v>108</v>
      </c>
      <c r="F124" s="107" t="s">
        <v>42</v>
      </c>
      <c r="G124" s="150">
        <v>999</v>
      </c>
      <c r="H124" s="169" t="s">
        <v>191</v>
      </c>
      <c r="I124" s="150" t="s">
        <v>20</v>
      </c>
      <c r="J124" s="108" t="s">
        <v>20</v>
      </c>
      <c r="K124" s="108" t="s">
        <v>13</v>
      </c>
      <c r="L124" s="108" t="s">
        <v>13</v>
      </c>
      <c r="M124" s="200" t="str">
        <f t="shared" si="8"/>
        <v>Verba Variavel - Entra no Cálculo da Margem para aposentado e pensionista</v>
      </c>
    </row>
    <row r="125" spans="1:13" x14ac:dyDescent="0.25">
      <c r="A125" s="74">
        <f>IF(ISERROR(SEARCH(Simulador!$Q$5,E125)),0,1)</f>
        <v>1</v>
      </c>
      <c r="B125" s="74">
        <f t="shared" si="20"/>
        <v>122</v>
      </c>
      <c r="C125" s="75">
        <f t="shared" si="21"/>
        <v>122</v>
      </c>
      <c r="D125" s="106" t="str">
        <f t="shared" si="11"/>
        <v>122</v>
      </c>
      <c r="E125" s="107" t="s">
        <v>109</v>
      </c>
      <c r="F125" s="107" t="s">
        <v>42</v>
      </c>
      <c r="G125" s="150">
        <v>999</v>
      </c>
      <c r="H125" s="169" t="s">
        <v>191</v>
      </c>
      <c r="I125" s="108" t="s">
        <v>20</v>
      </c>
      <c r="J125" s="108" t="s">
        <v>20</v>
      </c>
      <c r="K125" s="108" t="s">
        <v>13</v>
      </c>
      <c r="L125" s="108" t="s">
        <v>13</v>
      </c>
      <c r="M125" s="200" t="str">
        <f t="shared" si="8"/>
        <v>Verba Variavel - Entra no Cálculo da Margem para aposentado e pensionista</v>
      </c>
    </row>
    <row r="126" spans="1:13" x14ac:dyDescent="0.25">
      <c r="A126" s="74">
        <f>IF(ISERROR(SEARCH(Simulador!$Q$5,E126)),0,1)</f>
        <v>1</v>
      </c>
      <c r="B126" s="74">
        <f t="shared" si="20"/>
        <v>123</v>
      </c>
      <c r="C126" s="75">
        <f t="shared" si="21"/>
        <v>123</v>
      </c>
      <c r="D126" s="106" t="str">
        <f t="shared" si="11"/>
        <v>123</v>
      </c>
      <c r="E126" s="107" t="s">
        <v>110</v>
      </c>
      <c r="F126" s="107" t="s">
        <v>42</v>
      </c>
      <c r="G126" s="150">
        <v>999</v>
      </c>
      <c r="H126" s="169" t="s">
        <v>191</v>
      </c>
      <c r="I126" s="150" t="s">
        <v>20</v>
      </c>
      <c r="J126" s="108" t="s">
        <v>20</v>
      </c>
      <c r="K126" s="150" t="s">
        <v>13</v>
      </c>
      <c r="L126" s="150" t="s">
        <v>13</v>
      </c>
      <c r="M126" s="200" t="str">
        <f t="shared" si="8"/>
        <v>Verba Variavel - Entra no Cálculo da Margem para aposentado e pensionista</v>
      </c>
    </row>
    <row r="127" spans="1:13" ht="18" x14ac:dyDescent="0.25">
      <c r="A127" s="74">
        <f>IF(ISERROR(SEARCH(Simulador!$Q$5,E127)),0,1)</f>
        <v>1</v>
      </c>
      <c r="B127" s="74">
        <f t="shared" si="20"/>
        <v>124</v>
      </c>
      <c r="C127" s="75">
        <f t="shared" si="21"/>
        <v>124</v>
      </c>
      <c r="D127" s="106" t="str">
        <f t="shared" si="11"/>
        <v>124</v>
      </c>
      <c r="E127" s="107" t="s">
        <v>111</v>
      </c>
      <c r="F127" s="107" t="s">
        <v>42</v>
      </c>
      <c r="G127" s="150">
        <v>999</v>
      </c>
      <c r="H127" s="169" t="s">
        <v>191</v>
      </c>
      <c r="I127" s="108" t="s">
        <v>20</v>
      </c>
      <c r="J127" s="108" t="s">
        <v>20</v>
      </c>
      <c r="K127" s="108" t="s">
        <v>13</v>
      </c>
      <c r="L127" s="108" t="s">
        <v>13</v>
      </c>
      <c r="M127" s="200" t="str">
        <f t="shared" si="8"/>
        <v>Verba Variavel - Entra no Cálculo da Margem para aposentado e pensionista</v>
      </c>
    </row>
    <row r="128" spans="1:13" ht="18" x14ac:dyDescent="0.25">
      <c r="A128" s="74">
        <f>IF(ISERROR(SEARCH(Simulador!$Q$5,E128)),0,1)</f>
        <v>1</v>
      </c>
      <c r="B128" s="74">
        <f t="shared" si="20"/>
        <v>125</v>
      </c>
      <c r="C128" s="75">
        <f t="shared" si="21"/>
        <v>125</v>
      </c>
      <c r="D128" s="106" t="str">
        <f t="shared" si="11"/>
        <v>125</v>
      </c>
      <c r="E128" s="107" t="s">
        <v>120</v>
      </c>
      <c r="F128" s="107" t="s">
        <v>42</v>
      </c>
      <c r="G128" s="150">
        <v>999</v>
      </c>
      <c r="H128" s="169" t="s">
        <v>191</v>
      </c>
      <c r="I128" s="150" t="s">
        <v>20</v>
      </c>
      <c r="J128" s="108" t="s">
        <v>20</v>
      </c>
      <c r="K128" s="108" t="s">
        <v>13</v>
      </c>
      <c r="L128" s="108" t="s">
        <v>13</v>
      </c>
      <c r="M128" s="200" t="str">
        <f t="shared" si="8"/>
        <v>Verba Variavel - Entra no Cálculo da Margem para aposentado e pensionista</v>
      </c>
    </row>
    <row r="129" spans="1:13" ht="22.5" x14ac:dyDescent="0.25">
      <c r="A129" s="74">
        <f>IF(ISERROR(SEARCH(Simulador!$Q$5,E129)),0,1)</f>
        <v>1</v>
      </c>
      <c r="B129" s="74">
        <f t="shared" si="20"/>
        <v>126</v>
      </c>
      <c r="C129" s="75">
        <f t="shared" si="21"/>
        <v>126</v>
      </c>
      <c r="D129" s="106" t="str">
        <f t="shared" si="11"/>
        <v>126</v>
      </c>
      <c r="E129" s="107" t="s">
        <v>104</v>
      </c>
      <c r="F129" s="107" t="s">
        <v>42</v>
      </c>
      <c r="G129" s="150">
        <v>999</v>
      </c>
      <c r="H129" s="169" t="s">
        <v>191</v>
      </c>
      <c r="I129" s="150" t="s">
        <v>20</v>
      </c>
      <c r="J129" s="108" t="s">
        <v>20</v>
      </c>
      <c r="K129" s="108" t="s">
        <v>13</v>
      </c>
      <c r="L129" s="108" t="s">
        <v>13</v>
      </c>
      <c r="M129" s="200" t="str">
        <f t="shared" si="8"/>
        <v>Verba Variavel - Entra no Cálculo da Margem para aposentado e pensionista</v>
      </c>
    </row>
    <row r="130" spans="1:13" ht="22.5" x14ac:dyDescent="0.25">
      <c r="A130" s="74">
        <f>IF(ISERROR(SEARCH(Simulador!$Q$5,E130)),0,1)</f>
        <v>1</v>
      </c>
      <c r="B130" s="74">
        <f t="shared" si="20"/>
        <v>127</v>
      </c>
      <c r="C130" s="75">
        <f t="shared" si="21"/>
        <v>127</v>
      </c>
      <c r="D130" s="106" t="str">
        <f t="shared" si="11"/>
        <v>127</v>
      </c>
      <c r="E130" s="107" t="s">
        <v>227</v>
      </c>
      <c r="F130" s="107" t="s">
        <v>43</v>
      </c>
      <c r="G130" s="150">
        <v>999</v>
      </c>
      <c r="H130" s="169" t="s">
        <v>230</v>
      </c>
      <c r="I130" s="150" t="s">
        <v>13</v>
      </c>
      <c r="J130" s="108" t="s">
        <v>20</v>
      </c>
      <c r="K130" s="108" t="s">
        <v>13</v>
      </c>
      <c r="L130" s="108" t="s">
        <v>20</v>
      </c>
      <c r="M130" s="200" t="str">
        <f t="shared" si="8"/>
        <v>Desconto Facultativo - Entra no Cálculo da Margem</v>
      </c>
    </row>
    <row r="131" spans="1:13" ht="18" x14ac:dyDescent="0.25">
      <c r="A131" s="74">
        <f>IF(ISERROR(SEARCH(Simulador!$Q$5,E131)),0,1)</f>
        <v>1</v>
      </c>
      <c r="B131" s="74">
        <f t="shared" si="20"/>
        <v>128</v>
      </c>
      <c r="C131" s="75">
        <f t="shared" si="21"/>
        <v>128</v>
      </c>
      <c r="D131" s="106" t="str">
        <f t="shared" si="11"/>
        <v>128</v>
      </c>
      <c r="E131" s="107" t="s">
        <v>260</v>
      </c>
      <c r="F131" s="107" t="s">
        <v>43</v>
      </c>
      <c r="G131" s="150">
        <v>999</v>
      </c>
      <c r="H131" s="169" t="s">
        <v>228</v>
      </c>
      <c r="I131" s="150" t="s">
        <v>13</v>
      </c>
      <c r="J131" s="108" t="s">
        <v>20</v>
      </c>
      <c r="K131" s="108" t="s">
        <v>13</v>
      </c>
      <c r="L131" s="108" t="s">
        <v>20</v>
      </c>
      <c r="M131" s="200" t="str">
        <f t="shared" si="8"/>
        <v>Desconto Facultativo - Entra no Cálculo da Margem</v>
      </c>
    </row>
    <row r="132" spans="1:13" ht="18" x14ac:dyDescent="0.25">
      <c r="A132" s="74">
        <f>IF(ISERROR(SEARCH(Simulador!$Q$5,E132)),0,1)</f>
        <v>1</v>
      </c>
      <c r="B132" s="74">
        <f t="shared" si="20"/>
        <v>129</v>
      </c>
      <c r="C132" s="75">
        <f t="shared" si="21"/>
        <v>129</v>
      </c>
      <c r="D132" s="106" t="str">
        <f t="shared" si="11"/>
        <v>129</v>
      </c>
      <c r="E132" s="107" t="s">
        <v>125</v>
      </c>
      <c r="F132" s="107" t="s">
        <v>44</v>
      </c>
      <c r="G132" s="150">
        <v>999</v>
      </c>
      <c r="H132" s="169" t="s">
        <v>190</v>
      </c>
      <c r="I132" s="150" t="s">
        <v>13</v>
      </c>
      <c r="J132" s="108" t="s">
        <v>13</v>
      </c>
      <c r="K132" s="108" t="s">
        <v>13</v>
      </c>
      <c r="L132" s="108" t="s">
        <v>13</v>
      </c>
      <c r="M132" s="200" t="str">
        <f t="shared" ref="M132:M155" si="22">IF(I132="Sim",F132&amp;" - Entra no Cálculo da Margem",IF(K132="Sim",F132&amp;" - Entra no Cálculo da Margem para aposentado e pensionista",F132&amp;" - Não entra no Cálculo da Margem"))</f>
        <v>Verba Fixa - Entra no Cálculo da Margem</v>
      </c>
    </row>
    <row r="133" spans="1:13" ht="34.5" x14ac:dyDescent="0.25">
      <c r="A133" s="74">
        <f>IF(ISERROR(SEARCH(Simulador!$Q$5,E133)),0,1)</f>
        <v>1</v>
      </c>
      <c r="B133" s="74">
        <f t="shared" si="20"/>
        <v>130</v>
      </c>
      <c r="C133" s="75">
        <f t="shared" si="21"/>
        <v>130</v>
      </c>
      <c r="D133" s="106" t="str">
        <f t="shared" si="11"/>
        <v>130</v>
      </c>
      <c r="E133" s="107" t="s">
        <v>57</v>
      </c>
      <c r="F133" s="107" t="s">
        <v>44</v>
      </c>
      <c r="G133" s="150">
        <v>999</v>
      </c>
      <c r="H133" s="169" t="s">
        <v>190</v>
      </c>
      <c r="I133" s="150" t="s">
        <v>13</v>
      </c>
      <c r="J133" s="108" t="s">
        <v>13</v>
      </c>
      <c r="K133" s="108" t="s">
        <v>13</v>
      </c>
      <c r="L133" s="108" t="s">
        <v>13</v>
      </c>
      <c r="M133" s="200" t="str">
        <f t="shared" si="22"/>
        <v>Verba Fixa - Entra no Cálculo da Margem</v>
      </c>
    </row>
    <row r="134" spans="1:13" ht="34.5" x14ac:dyDescent="0.25">
      <c r="A134" s="74">
        <f>IF(ISERROR(SEARCH(Simulador!$Q$5,E134)),0,1)</f>
        <v>1</v>
      </c>
      <c r="B134" s="74">
        <f t="shared" si="20"/>
        <v>131</v>
      </c>
      <c r="C134" s="75">
        <f t="shared" si="21"/>
        <v>131</v>
      </c>
      <c r="D134" s="106" t="str">
        <f t="shared" ref="D134:D172" si="23">TEXT(D133+1,"00")</f>
        <v>131</v>
      </c>
      <c r="E134" s="107" t="s">
        <v>240</v>
      </c>
      <c r="F134" s="107" t="s">
        <v>42</v>
      </c>
      <c r="G134" s="150">
        <v>999</v>
      </c>
      <c r="H134" s="169" t="s">
        <v>191</v>
      </c>
      <c r="I134" s="108" t="s">
        <v>20</v>
      </c>
      <c r="J134" s="108" t="s">
        <v>20</v>
      </c>
      <c r="K134" s="108" t="s">
        <v>13</v>
      </c>
      <c r="L134" s="108" t="s">
        <v>13</v>
      </c>
      <c r="M134" s="200" t="str">
        <f t="shared" si="22"/>
        <v>Verba Variavel - Entra no Cálculo da Margem para aposentado e pensionista</v>
      </c>
    </row>
    <row r="135" spans="1:13" ht="22.5" x14ac:dyDescent="0.25">
      <c r="A135" s="74">
        <f>IF(ISERROR(SEARCH(Simulador!$Q$5,E135)),0,1)</f>
        <v>1</v>
      </c>
      <c r="B135" s="74">
        <f t="shared" si="20"/>
        <v>132</v>
      </c>
      <c r="C135" s="75">
        <f t="shared" si="21"/>
        <v>132</v>
      </c>
      <c r="D135" s="106" t="str">
        <f t="shared" si="23"/>
        <v>132</v>
      </c>
      <c r="E135" s="107" t="s">
        <v>61</v>
      </c>
      <c r="F135" s="107" t="s">
        <v>44</v>
      </c>
      <c r="G135" s="150">
        <v>999</v>
      </c>
      <c r="H135" s="169" t="s">
        <v>192</v>
      </c>
      <c r="I135" s="150" t="s">
        <v>20</v>
      </c>
      <c r="J135" s="108" t="s">
        <v>20</v>
      </c>
      <c r="K135" s="108" t="s">
        <v>13</v>
      </c>
      <c r="L135" s="108" t="s">
        <v>13</v>
      </c>
      <c r="M135" s="200" t="str">
        <f t="shared" si="22"/>
        <v>Verba Fixa - Entra no Cálculo da Margem para aposentado e pensionista</v>
      </c>
    </row>
    <row r="136" spans="1:13" ht="22.5" x14ac:dyDescent="0.25">
      <c r="A136" s="74">
        <f>IF(ISERROR(SEARCH(Simulador!$Q$5,E136)),0,1)</f>
        <v>1</v>
      </c>
      <c r="B136" s="74">
        <f t="shared" si="20"/>
        <v>133</v>
      </c>
      <c r="C136" s="75">
        <f t="shared" si="21"/>
        <v>133</v>
      </c>
      <c r="D136" s="106" t="str">
        <f t="shared" si="23"/>
        <v>133</v>
      </c>
      <c r="E136" s="107" t="s">
        <v>153</v>
      </c>
      <c r="F136" s="107" t="s">
        <v>44</v>
      </c>
      <c r="G136" s="150">
        <v>999</v>
      </c>
      <c r="H136" s="169" t="s">
        <v>190</v>
      </c>
      <c r="I136" s="108" t="s">
        <v>13</v>
      </c>
      <c r="J136" s="108" t="s">
        <v>13</v>
      </c>
      <c r="K136" s="108" t="s">
        <v>13</v>
      </c>
      <c r="L136" s="108" t="s">
        <v>13</v>
      </c>
      <c r="M136" s="200" t="str">
        <f t="shared" si="22"/>
        <v>Verba Fixa - Entra no Cálculo da Margem</v>
      </c>
    </row>
    <row r="137" spans="1:13" ht="22.5" x14ac:dyDescent="0.25">
      <c r="A137" s="74">
        <f>IF(ISERROR(SEARCH(Simulador!$Q$5,E137)),0,1)</f>
        <v>1</v>
      </c>
      <c r="B137" s="74">
        <f t="shared" si="20"/>
        <v>134</v>
      </c>
      <c r="C137" s="75">
        <f t="shared" si="21"/>
        <v>134</v>
      </c>
      <c r="D137" s="106" t="str">
        <f t="shared" si="23"/>
        <v>134</v>
      </c>
      <c r="E137" s="107" t="s">
        <v>159</v>
      </c>
      <c r="F137" s="107" t="s">
        <v>44</v>
      </c>
      <c r="G137" s="150">
        <v>999</v>
      </c>
      <c r="H137" s="169" t="s">
        <v>190</v>
      </c>
      <c r="I137" s="108" t="s">
        <v>13</v>
      </c>
      <c r="J137" s="108" t="s">
        <v>13</v>
      </c>
      <c r="K137" s="108" t="s">
        <v>13</v>
      </c>
      <c r="L137" s="108" t="s">
        <v>13</v>
      </c>
      <c r="M137" s="200" t="str">
        <f t="shared" si="22"/>
        <v>Verba Fixa - Entra no Cálculo da Margem</v>
      </c>
    </row>
    <row r="138" spans="1:13" ht="18" x14ac:dyDescent="0.25">
      <c r="A138" s="74">
        <f>IF(ISERROR(SEARCH(Simulador!$Q$5,E138)),0,1)</f>
        <v>1</v>
      </c>
      <c r="B138" s="74">
        <f t="shared" si="20"/>
        <v>135</v>
      </c>
      <c r="C138" s="75">
        <f t="shared" si="21"/>
        <v>135</v>
      </c>
      <c r="D138" s="106" t="str">
        <f t="shared" si="23"/>
        <v>135</v>
      </c>
      <c r="E138" s="107" t="s">
        <v>162</v>
      </c>
      <c r="F138" s="107" t="s">
        <v>42</v>
      </c>
      <c r="G138" s="150">
        <v>999</v>
      </c>
      <c r="H138" s="169" t="s">
        <v>196</v>
      </c>
      <c r="I138" s="108" t="s">
        <v>20</v>
      </c>
      <c r="J138" s="108" t="s">
        <v>20</v>
      </c>
      <c r="K138" s="108" t="s">
        <v>13</v>
      </c>
      <c r="L138" s="108" t="s">
        <v>13</v>
      </c>
      <c r="M138" s="200" t="str">
        <f t="shared" si="22"/>
        <v>Verba Variavel - Entra no Cálculo da Margem para aposentado e pensionista</v>
      </c>
    </row>
    <row r="139" spans="1:13" x14ac:dyDescent="0.25">
      <c r="A139" s="74">
        <f>IF(ISERROR(SEARCH(Simulador!$Q$5,E139)),0,1)</f>
        <v>1</v>
      </c>
      <c r="B139" s="74">
        <f t="shared" si="20"/>
        <v>136</v>
      </c>
      <c r="C139" s="75">
        <f t="shared" si="21"/>
        <v>136</v>
      </c>
      <c r="D139" s="106" t="str">
        <f t="shared" si="23"/>
        <v>136</v>
      </c>
      <c r="E139" s="107" t="s">
        <v>130</v>
      </c>
      <c r="F139" s="107" t="s">
        <v>42</v>
      </c>
      <c r="G139" s="150">
        <v>999</v>
      </c>
      <c r="H139" s="169" t="s">
        <v>196</v>
      </c>
      <c r="I139" s="150" t="s">
        <v>20</v>
      </c>
      <c r="J139" s="108" t="s">
        <v>20</v>
      </c>
      <c r="K139" s="150" t="s">
        <v>13</v>
      </c>
      <c r="L139" s="108" t="s">
        <v>13</v>
      </c>
      <c r="M139" s="200" t="str">
        <f t="shared" si="22"/>
        <v>Verba Variavel - Entra no Cálculo da Margem para aposentado e pensionista</v>
      </c>
    </row>
    <row r="140" spans="1:13" ht="22.5" x14ac:dyDescent="0.25">
      <c r="A140" s="74">
        <f>IF(ISERROR(SEARCH(Simulador!$Q$5,E140)),0,1)</f>
        <v>1</v>
      </c>
      <c r="B140" s="74">
        <f t="shared" si="20"/>
        <v>137</v>
      </c>
      <c r="C140" s="75">
        <f t="shared" si="21"/>
        <v>137</v>
      </c>
      <c r="D140" s="106" t="str">
        <f t="shared" si="23"/>
        <v>137</v>
      </c>
      <c r="E140" s="107" t="s">
        <v>67</v>
      </c>
      <c r="F140" s="107" t="s">
        <v>42</v>
      </c>
      <c r="G140" s="150">
        <v>999</v>
      </c>
      <c r="H140" s="169" t="s">
        <v>191</v>
      </c>
      <c r="I140" s="150" t="s">
        <v>20</v>
      </c>
      <c r="J140" s="108" t="s">
        <v>20</v>
      </c>
      <c r="K140" s="150" t="s">
        <v>13</v>
      </c>
      <c r="L140" s="108" t="s">
        <v>13</v>
      </c>
      <c r="M140" s="200" t="str">
        <f t="shared" si="22"/>
        <v>Verba Variavel - Entra no Cálculo da Margem para aposentado e pensionista</v>
      </c>
    </row>
    <row r="141" spans="1:13" ht="75.75" x14ac:dyDescent="0.25">
      <c r="A141" s="74">
        <f>IF(ISERROR(SEARCH(Simulador!$Q$5,E141)),0,1)</f>
        <v>1</v>
      </c>
      <c r="B141" s="74">
        <f t="shared" si="20"/>
        <v>138</v>
      </c>
      <c r="C141" s="75">
        <f t="shared" si="21"/>
        <v>138</v>
      </c>
      <c r="D141" s="106" t="str">
        <f t="shared" si="23"/>
        <v>138</v>
      </c>
      <c r="E141" s="107" t="s">
        <v>85</v>
      </c>
      <c r="F141" s="107" t="s">
        <v>42</v>
      </c>
      <c r="G141" s="150">
        <v>999</v>
      </c>
      <c r="H141" s="169" t="s">
        <v>191</v>
      </c>
      <c r="I141" s="150" t="s">
        <v>20</v>
      </c>
      <c r="J141" s="108" t="s">
        <v>20</v>
      </c>
      <c r="K141" s="150" t="s">
        <v>13</v>
      </c>
      <c r="L141" s="108" t="s">
        <v>13</v>
      </c>
      <c r="M141" s="200" t="str">
        <f t="shared" si="22"/>
        <v>Verba Variavel - Entra no Cálculo da Margem para aposentado e pensionista</v>
      </c>
    </row>
    <row r="142" spans="1:13" ht="22.5" x14ac:dyDescent="0.25">
      <c r="A142" s="74">
        <f>IF(ISERROR(SEARCH(Simulador!$Q$5,E142)),0,1)</f>
        <v>1</v>
      </c>
      <c r="B142" s="74">
        <f t="shared" si="20"/>
        <v>139</v>
      </c>
      <c r="C142" s="75">
        <f t="shared" si="21"/>
        <v>139</v>
      </c>
      <c r="D142" s="106" t="str">
        <f t="shared" si="23"/>
        <v>139</v>
      </c>
      <c r="E142" s="107" t="s">
        <v>64</v>
      </c>
      <c r="F142" s="107" t="s">
        <v>42</v>
      </c>
      <c r="G142" s="150">
        <v>999</v>
      </c>
      <c r="H142" s="169" t="s">
        <v>191</v>
      </c>
      <c r="I142" s="150" t="s">
        <v>20</v>
      </c>
      <c r="J142" s="108" t="s">
        <v>20</v>
      </c>
      <c r="K142" s="150" t="s">
        <v>13</v>
      </c>
      <c r="L142" s="108" t="s">
        <v>13</v>
      </c>
      <c r="M142" s="200" t="str">
        <f t="shared" si="22"/>
        <v>Verba Variavel - Entra no Cálculo da Margem para aposentado e pensionista</v>
      </c>
    </row>
    <row r="143" spans="1:13" x14ac:dyDescent="0.25">
      <c r="A143" s="74">
        <f>IF(ISERROR(SEARCH(Simulador!$Q$5,E143)),0,1)</f>
        <v>1</v>
      </c>
      <c r="B143" s="74">
        <f t="shared" si="20"/>
        <v>140</v>
      </c>
      <c r="C143" s="75">
        <f t="shared" si="21"/>
        <v>140</v>
      </c>
      <c r="D143" s="106" t="str">
        <f t="shared" si="23"/>
        <v>140</v>
      </c>
      <c r="E143" s="107" t="s">
        <v>183</v>
      </c>
      <c r="F143" s="107" t="s">
        <v>42</v>
      </c>
      <c r="G143" s="150">
        <v>999</v>
      </c>
      <c r="H143" s="169" t="s">
        <v>193</v>
      </c>
      <c r="I143" s="150" t="s">
        <v>20</v>
      </c>
      <c r="J143" s="108" t="s">
        <v>20</v>
      </c>
      <c r="K143" s="150" t="s">
        <v>20</v>
      </c>
      <c r="L143" s="108" t="s">
        <v>20</v>
      </c>
      <c r="M143" s="200" t="str">
        <f t="shared" si="22"/>
        <v>Verba Variavel - Não entra no Cálculo da Margem</v>
      </c>
    </row>
    <row r="144" spans="1:13" x14ac:dyDescent="0.25">
      <c r="A144" s="74">
        <f>IF(ISERROR(SEARCH(Simulador!$Q$5,E144)),0,1)</f>
        <v>1</v>
      </c>
      <c r="B144" s="74">
        <f t="shared" si="20"/>
        <v>141</v>
      </c>
      <c r="C144" s="75">
        <f t="shared" si="21"/>
        <v>141</v>
      </c>
      <c r="D144" s="106" t="str">
        <f t="shared" si="23"/>
        <v>141</v>
      </c>
      <c r="E144" s="107" t="s">
        <v>271</v>
      </c>
      <c r="F144" s="107" t="s">
        <v>42</v>
      </c>
      <c r="G144" s="150">
        <v>999</v>
      </c>
      <c r="H144" s="169" t="s">
        <v>270</v>
      </c>
      <c r="I144" s="150" t="s">
        <v>20</v>
      </c>
      <c r="J144" s="108" t="s">
        <v>20</v>
      </c>
      <c r="K144" s="150" t="s">
        <v>20</v>
      </c>
      <c r="L144" s="108" t="s">
        <v>20</v>
      </c>
      <c r="M144" s="200" t="str">
        <f t="shared" si="22"/>
        <v>Verba Variavel - Não entra no Cálculo da Margem</v>
      </c>
    </row>
    <row r="145" spans="1:13" ht="22.5" x14ac:dyDescent="0.25">
      <c r="A145" s="74">
        <f>IF(ISERROR(SEARCH(Simulador!$Q$5,E145)),0,1)</f>
        <v>1</v>
      </c>
      <c r="B145" s="74">
        <f t="shared" ref="B145:B150" si="24">IF(A145=0,B144,A145+B144)</f>
        <v>142</v>
      </c>
      <c r="C145" s="75">
        <f t="shared" ref="C145:C150" si="25">IF(A145=0,0,B145)</f>
        <v>142</v>
      </c>
      <c r="D145" s="106" t="str">
        <f t="shared" si="23"/>
        <v>142</v>
      </c>
      <c r="E145" s="107" t="s">
        <v>188</v>
      </c>
      <c r="F145" s="107" t="s">
        <v>42</v>
      </c>
      <c r="G145" s="150">
        <v>999</v>
      </c>
      <c r="H145" s="218" t="s">
        <v>196</v>
      </c>
      <c r="I145" s="150" t="s">
        <v>20</v>
      </c>
      <c r="J145" s="108" t="s">
        <v>20</v>
      </c>
      <c r="K145" s="150" t="s">
        <v>13</v>
      </c>
      <c r="L145" s="108" t="s">
        <v>13</v>
      </c>
      <c r="M145" s="200" t="str">
        <f t="shared" si="22"/>
        <v>Verba Variavel - Entra no Cálculo da Margem para aposentado e pensionista</v>
      </c>
    </row>
    <row r="146" spans="1:13" ht="34.5" x14ac:dyDescent="0.25">
      <c r="A146" s="74">
        <f>IF(ISERROR(SEARCH(Simulador!$Q$5,E146)),0,1)</f>
        <v>1</v>
      </c>
      <c r="B146" s="74">
        <f t="shared" si="24"/>
        <v>143</v>
      </c>
      <c r="C146" s="75">
        <f t="shared" si="25"/>
        <v>143</v>
      </c>
      <c r="D146" s="106" t="str">
        <f t="shared" si="23"/>
        <v>143</v>
      </c>
      <c r="E146" s="107" t="s">
        <v>142</v>
      </c>
      <c r="F146" s="107" t="s">
        <v>44</v>
      </c>
      <c r="G146" s="150">
        <v>999</v>
      </c>
      <c r="H146" s="169" t="s">
        <v>203</v>
      </c>
      <c r="I146" s="150" t="s">
        <v>13</v>
      </c>
      <c r="J146" s="108" t="s">
        <v>13</v>
      </c>
      <c r="K146" s="150" t="s">
        <v>13</v>
      </c>
      <c r="L146" s="108" t="s">
        <v>13</v>
      </c>
      <c r="M146" s="200" t="str">
        <f t="shared" si="22"/>
        <v>Verba Fixa - Entra no Cálculo da Margem</v>
      </c>
    </row>
    <row r="147" spans="1:13" ht="22.5" x14ac:dyDescent="0.25">
      <c r="A147" s="74">
        <f>IF(ISERROR(SEARCH(Simulador!$Q$5,E147)),0,1)</f>
        <v>1</v>
      </c>
      <c r="B147" s="74">
        <f t="shared" si="24"/>
        <v>144</v>
      </c>
      <c r="C147" s="75">
        <f t="shared" si="25"/>
        <v>144</v>
      </c>
      <c r="D147" s="106" t="str">
        <f t="shared" si="23"/>
        <v>144</v>
      </c>
      <c r="E147" s="107" t="s">
        <v>78</v>
      </c>
      <c r="F147" s="107" t="s">
        <v>42</v>
      </c>
      <c r="G147" s="150">
        <v>999</v>
      </c>
      <c r="H147" s="169" t="s">
        <v>191</v>
      </c>
      <c r="I147" s="150" t="s">
        <v>20</v>
      </c>
      <c r="J147" s="108" t="s">
        <v>20</v>
      </c>
      <c r="K147" s="150" t="s">
        <v>13</v>
      </c>
      <c r="L147" s="108" t="s">
        <v>13</v>
      </c>
      <c r="M147" s="200" t="str">
        <f t="shared" si="22"/>
        <v>Verba Variavel - Entra no Cálculo da Margem para aposentado e pensionista</v>
      </c>
    </row>
    <row r="148" spans="1:13" x14ac:dyDescent="0.25">
      <c r="A148" s="74">
        <f>IF(ISERROR(SEARCH(Simulador!$Q$5,E148)),0,1)</f>
        <v>1</v>
      </c>
      <c r="B148" s="74">
        <f t="shared" si="24"/>
        <v>145</v>
      </c>
      <c r="C148" s="75">
        <f t="shared" si="25"/>
        <v>145</v>
      </c>
      <c r="D148" s="106" t="str">
        <f t="shared" si="23"/>
        <v>145</v>
      </c>
      <c r="E148" s="107" t="s">
        <v>214</v>
      </c>
      <c r="F148" s="107" t="s">
        <v>43</v>
      </c>
      <c r="G148" s="150">
        <v>999</v>
      </c>
      <c r="H148" s="169" t="s">
        <v>229</v>
      </c>
      <c r="I148" s="150" t="s">
        <v>13</v>
      </c>
      <c r="J148" s="108" t="s">
        <v>20</v>
      </c>
      <c r="K148" s="150" t="s">
        <v>13</v>
      </c>
      <c r="L148" s="108" t="s">
        <v>20</v>
      </c>
      <c r="M148" s="200" t="str">
        <f t="shared" si="22"/>
        <v>Desconto Facultativo - Entra no Cálculo da Margem</v>
      </c>
    </row>
    <row r="149" spans="1:13" ht="42.75" x14ac:dyDescent="0.25">
      <c r="A149" s="74">
        <f>IF(ISERROR(SEARCH(Simulador!$Q$5,E149)),0,1)</f>
        <v>1</v>
      </c>
      <c r="B149" s="74">
        <f t="shared" si="24"/>
        <v>146</v>
      </c>
      <c r="C149" s="75">
        <f t="shared" si="25"/>
        <v>146</v>
      </c>
      <c r="D149" s="106" t="str">
        <f t="shared" si="23"/>
        <v>146</v>
      </c>
      <c r="E149" s="107" t="s">
        <v>216</v>
      </c>
      <c r="F149" s="107" t="s">
        <v>43</v>
      </c>
      <c r="G149" s="150">
        <v>999</v>
      </c>
      <c r="H149" s="169" t="s">
        <v>229</v>
      </c>
      <c r="I149" s="150" t="s">
        <v>13</v>
      </c>
      <c r="J149" s="108" t="s">
        <v>20</v>
      </c>
      <c r="K149" s="150" t="s">
        <v>13</v>
      </c>
      <c r="L149" s="108" t="s">
        <v>20</v>
      </c>
      <c r="M149" s="200" t="str">
        <f t="shared" si="22"/>
        <v>Desconto Facultativo - Entra no Cálculo da Margem</v>
      </c>
    </row>
    <row r="150" spans="1:13" ht="22.5" x14ac:dyDescent="0.25">
      <c r="A150" s="74">
        <f>IF(ISERROR(SEARCH(Simulador!$Q$5,E150)),0,1)</f>
        <v>1</v>
      </c>
      <c r="B150" s="74">
        <f t="shared" si="24"/>
        <v>147</v>
      </c>
      <c r="C150" s="75">
        <f t="shared" si="25"/>
        <v>147</v>
      </c>
      <c r="D150" s="106" t="str">
        <f t="shared" si="23"/>
        <v>147</v>
      </c>
      <c r="E150" s="107" t="s">
        <v>53</v>
      </c>
      <c r="F150" s="107" t="s">
        <v>42</v>
      </c>
      <c r="G150" s="150">
        <v>999</v>
      </c>
      <c r="H150" s="169" t="s">
        <v>191</v>
      </c>
      <c r="I150" s="150" t="s">
        <v>20</v>
      </c>
      <c r="J150" s="108" t="s">
        <v>20</v>
      </c>
      <c r="K150" s="150" t="s">
        <v>13</v>
      </c>
      <c r="L150" s="108" t="s">
        <v>13</v>
      </c>
      <c r="M150" s="200" t="str">
        <f t="shared" si="22"/>
        <v>Verba Variavel - Entra no Cálculo da Margem para aposentado e pensionista</v>
      </c>
    </row>
    <row r="151" spans="1:13" x14ac:dyDescent="0.25">
      <c r="A151" s="74">
        <f>IF(ISERROR(SEARCH(Simulador!$Q$5,E151)),0,1)</f>
        <v>1</v>
      </c>
      <c r="B151" s="74">
        <f t="shared" ref="B151:B153" si="26">IF(A151=0,B150,A151+B150)</f>
        <v>148</v>
      </c>
      <c r="C151" s="75">
        <f t="shared" ref="C151:C153" si="27">IF(A151=0,0,B151)</f>
        <v>148</v>
      </c>
      <c r="D151" s="106" t="str">
        <f t="shared" si="23"/>
        <v>148</v>
      </c>
      <c r="E151" s="107" t="s">
        <v>181</v>
      </c>
      <c r="F151" s="107" t="s">
        <v>42</v>
      </c>
      <c r="G151" s="150">
        <v>999</v>
      </c>
      <c r="H151" s="169" t="s">
        <v>195</v>
      </c>
      <c r="I151" s="150" t="s">
        <v>20</v>
      </c>
      <c r="J151" s="108" t="s">
        <v>20</v>
      </c>
      <c r="K151" s="150" t="s">
        <v>20</v>
      </c>
      <c r="L151" s="108" t="s">
        <v>20</v>
      </c>
      <c r="M151" s="200" t="str">
        <f t="shared" si="22"/>
        <v>Verba Variavel - Não entra no Cálculo da Margem</v>
      </c>
    </row>
    <row r="152" spans="1:13" ht="22.5" x14ac:dyDescent="0.25">
      <c r="A152" s="74">
        <f>IF(ISERROR(SEARCH(Simulador!$Q$5,E152)),0,1)</f>
        <v>1</v>
      </c>
      <c r="B152" s="74">
        <f t="shared" si="26"/>
        <v>149</v>
      </c>
      <c r="C152" s="75">
        <f t="shared" si="27"/>
        <v>149</v>
      </c>
      <c r="D152" s="106" t="str">
        <f t="shared" si="23"/>
        <v>149</v>
      </c>
      <c r="E152" s="107" t="s">
        <v>118</v>
      </c>
      <c r="F152" s="107" t="s">
        <v>42</v>
      </c>
      <c r="G152" s="150">
        <v>999</v>
      </c>
      <c r="H152" s="169" t="s">
        <v>191</v>
      </c>
      <c r="I152" s="150" t="s">
        <v>20</v>
      </c>
      <c r="J152" s="108" t="s">
        <v>20</v>
      </c>
      <c r="K152" s="150" t="s">
        <v>13</v>
      </c>
      <c r="L152" s="108" t="s">
        <v>13</v>
      </c>
      <c r="M152" s="200" t="str">
        <f t="shared" si="22"/>
        <v>Verba Variavel - Entra no Cálculo da Margem para aposentado e pensionista</v>
      </c>
    </row>
    <row r="153" spans="1:13" ht="22.5" x14ac:dyDescent="0.25">
      <c r="A153" s="74">
        <f>IF(ISERROR(SEARCH(Simulador!$Q$5,E153)),0,1)</f>
        <v>1</v>
      </c>
      <c r="B153" s="74">
        <f t="shared" si="26"/>
        <v>150</v>
      </c>
      <c r="C153" s="75">
        <f t="shared" si="27"/>
        <v>150</v>
      </c>
      <c r="D153" s="106" t="str">
        <f t="shared" si="23"/>
        <v>150</v>
      </c>
      <c r="E153" s="107" t="s">
        <v>182</v>
      </c>
      <c r="F153" s="107" t="s">
        <v>44</v>
      </c>
      <c r="G153" s="150">
        <v>999</v>
      </c>
      <c r="H153" s="218" t="s">
        <v>208</v>
      </c>
      <c r="I153" s="150" t="s">
        <v>13</v>
      </c>
      <c r="J153" s="108" t="s">
        <v>13</v>
      </c>
      <c r="K153" s="150" t="s">
        <v>13</v>
      </c>
      <c r="L153" s="108" t="s">
        <v>13</v>
      </c>
      <c r="M153" s="200" t="str">
        <f t="shared" si="22"/>
        <v>Verba Fixa - Entra no Cálculo da Margem</v>
      </c>
    </row>
    <row r="154" spans="1:13" ht="34.5" x14ac:dyDescent="0.25">
      <c r="A154" s="74">
        <f>IF(ISERROR(SEARCH(Simulador!$Q$5,E154)),0,1)</f>
        <v>1</v>
      </c>
      <c r="B154" s="74">
        <f t="shared" ref="B154:B158" si="28">IF(A154=0,B153,A154+B153)</f>
        <v>151</v>
      </c>
      <c r="C154" s="75">
        <f t="shared" ref="C154:C158" si="29">IF(A154=0,0,B154)</f>
        <v>151</v>
      </c>
      <c r="D154" s="106" t="str">
        <f t="shared" si="23"/>
        <v>151</v>
      </c>
      <c r="E154" s="107" t="s">
        <v>180</v>
      </c>
      <c r="F154" s="107" t="s">
        <v>44</v>
      </c>
      <c r="G154" s="150">
        <v>999</v>
      </c>
      <c r="H154" s="169" t="s">
        <v>211</v>
      </c>
      <c r="I154" s="108" t="s">
        <v>13</v>
      </c>
      <c r="J154" s="108" t="s">
        <v>13</v>
      </c>
      <c r="K154" s="108" t="s">
        <v>20</v>
      </c>
      <c r="L154" s="108" t="s">
        <v>20</v>
      </c>
      <c r="M154" s="200" t="str">
        <f t="shared" si="22"/>
        <v>Verba Fixa - Entra no Cálculo da Margem</v>
      </c>
    </row>
    <row r="155" spans="1:13" ht="34.5" x14ac:dyDescent="0.25">
      <c r="A155" s="74">
        <f>IF(ISERROR(SEARCH(Simulador!$Q$5,E155)),0,1)</f>
        <v>1</v>
      </c>
      <c r="B155" s="74">
        <f t="shared" si="28"/>
        <v>152</v>
      </c>
      <c r="C155" s="75">
        <f t="shared" si="29"/>
        <v>152</v>
      </c>
      <c r="D155" s="106" t="str">
        <f t="shared" si="23"/>
        <v>152</v>
      </c>
      <c r="E155" s="107" t="s">
        <v>79</v>
      </c>
      <c r="F155" s="107" t="s">
        <v>42</v>
      </c>
      <c r="G155" s="150">
        <v>999</v>
      </c>
      <c r="H155" s="169" t="s">
        <v>191</v>
      </c>
      <c r="I155" s="108" t="s">
        <v>20</v>
      </c>
      <c r="J155" s="108" t="s">
        <v>20</v>
      </c>
      <c r="K155" s="108" t="s">
        <v>13</v>
      </c>
      <c r="L155" s="108" t="s">
        <v>13</v>
      </c>
      <c r="M155" s="200" t="str">
        <f t="shared" si="22"/>
        <v>Verba Variavel - Entra no Cálculo da Margem para aposentado e pensionista</v>
      </c>
    </row>
    <row r="156" spans="1:13" ht="34.5" x14ac:dyDescent="0.25">
      <c r="A156" s="74">
        <f>IF(ISERROR(SEARCH(Simulador!$Q$5,E156)),0,1)</f>
        <v>1</v>
      </c>
      <c r="B156" s="74">
        <f t="shared" si="28"/>
        <v>153</v>
      </c>
      <c r="C156" s="75">
        <f t="shared" si="29"/>
        <v>153</v>
      </c>
      <c r="D156" s="106" t="str">
        <f t="shared" si="23"/>
        <v>153</v>
      </c>
      <c r="E156" s="107" t="s">
        <v>276</v>
      </c>
      <c r="F156" s="107" t="s">
        <v>42</v>
      </c>
      <c r="G156" s="150">
        <v>999</v>
      </c>
      <c r="H156" s="169" t="s">
        <v>270</v>
      </c>
      <c r="I156" s="108" t="s">
        <v>20</v>
      </c>
      <c r="J156" s="108" t="s">
        <v>20</v>
      </c>
      <c r="K156" s="108" t="s">
        <v>20</v>
      </c>
      <c r="L156" s="108" t="s">
        <v>20</v>
      </c>
      <c r="M156" s="200" t="str">
        <f t="shared" ref="M156" si="30">IF(I156="Sim",F156&amp;" - Entra no Cálculo da Margem",IF(K156="Sim",F156&amp;" - Entra no Cálculo da Margem para aposentado e pensionista",F156&amp;" - Não entra no Cálculo da Margem"))</f>
        <v>Verba Variavel - Não entra no Cálculo da Margem</v>
      </c>
    </row>
    <row r="157" spans="1:13" ht="22.5" x14ac:dyDescent="0.25">
      <c r="A157" s="74">
        <f>IF(ISERROR(SEARCH(Simulador!$Q$5,E157)),0,1)</f>
        <v>1</v>
      </c>
      <c r="B157" s="74">
        <f t="shared" si="28"/>
        <v>154</v>
      </c>
      <c r="C157" s="75">
        <f t="shared" si="29"/>
        <v>154</v>
      </c>
      <c r="D157" s="106" t="str">
        <f t="shared" si="23"/>
        <v>154</v>
      </c>
      <c r="E157" s="107" t="s">
        <v>119</v>
      </c>
      <c r="F157" s="107" t="s">
        <v>42</v>
      </c>
      <c r="G157" s="150">
        <v>999</v>
      </c>
      <c r="H157" s="169" t="s">
        <v>191</v>
      </c>
      <c r="I157" s="108" t="s">
        <v>20</v>
      </c>
      <c r="J157" s="108" t="s">
        <v>20</v>
      </c>
      <c r="K157" s="108" t="s">
        <v>13</v>
      </c>
      <c r="L157" s="108" t="s">
        <v>13</v>
      </c>
      <c r="M157" s="200" t="str">
        <f t="shared" ref="M157:M159" si="31">IF(I157="Sim",F157&amp;" - Entra no Cálculo da Margem",IF(K157="Sim",F157&amp;" - Entra no Cálculo da Margem para aposentado e pensionista",F157&amp;" - Não entra no Cálculo da Margem"))</f>
        <v>Verba Variavel - Entra no Cálculo da Margem para aposentado e pensionista</v>
      </c>
    </row>
    <row r="158" spans="1:13" x14ac:dyDescent="0.25">
      <c r="A158" s="74">
        <f>IF(ISERROR(SEARCH(Simulador!$Q$5,E158)),0,1)</f>
        <v>1</v>
      </c>
      <c r="B158" s="74">
        <f t="shared" si="28"/>
        <v>155</v>
      </c>
      <c r="C158" s="75">
        <f t="shared" si="29"/>
        <v>155</v>
      </c>
      <c r="D158" s="106" t="str">
        <f t="shared" si="23"/>
        <v>155</v>
      </c>
      <c r="E158" s="107" t="s">
        <v>88</v>
      </c>
      <c r="F158" s="107" t="s">
        <v>42</v>
      </c>
      <c r="G158" s="150">
        <v>999</v>
      </c>
      <c r="H158" s="169" t="s">
        <v>191</v>
      </c>
      <c r="I158" s="150" t="s">
        <v>20</v>
      </c>
      <c r="J158" s="108" t="s">
        <v>20</v>
      </c>
      <c r="K158" s="108" t="s">
        <v>13</v>
      </c>
      <c r="L158" s="108" t="s">
        <v>13</v>
      </c>
      <c r="M158" s="200" t="str">
        <f t="shared" si="31"/>
        <v>Verba Variavel - Entra no Cálculo da Margem para aposentado e pensionista</v>
      </c>
    </row>
    <row r="159" spans="1:13" ht="34.5" x14ac:dyDescent="0.25">
      <c r="A159" s="74">
        <f>IF(ISERROR(SEARCH(Simulador!$Q$5,E159)),0,1)</f>
        <v>1</v>
      </c>
      <c r="B159" s="74">
        <f t="shared" ref="B159:B161" si="32">IF(A159=0,B158,A159+B158)</f>
        <v>156</v>
      </c>
      <c r="C159" s="75">
        <f t="shared" ref="C159:C161" si="33">IF(A159=0,0,B159)</f>
        <v>156</v>
      </c>
      <c r="D159" s="106" t="str">
        <f t="shared" si="23"/>
        <v>156</v>
      </c>
      <c r="E159" s="107" t="s">
        <v>154</v>
      </c>
      <c r="F159" s="107" t="s">
        <v>42</v>
      </c>
      <c r="G159" s="150">
        <v>999</v>
      </c>
      <c r="H159" s="169" t="s">
        <v>196</v>
      </c>
      <c r="I159" s="150" t="s">
        <v>20</v>
      </c>
      <c r="J159" s="108" t="s">
        <v>20</v>
      </c>
      <c r="K159" s="108" t="s">
        <v>13</v>
      </c>
      <c r="L159" s="108" t="s">
        <v>13</v>
      </c>
      <c r="M159" s="200" t="str">
        <f t="shared" si="31"/>
        <v>Verba Variavel - Entra no Cálculo da Margem para aposentado e pensionista</v>
      </c>
    </row>
    <row r="160" spans="1:13" ht="51" x14ac:dyDescent="0.25">
      <c r="A160" s="74">
        <f>IF(ISERROR(SEARCH(Simulador!$Q$5,E160)),0,1)</f>
        <v>1</v>
      </c>
      <c r="B160" s="74">
        <f t="shared" si="32"/>
        <v>157</v>
      </c>
      <c r="C160" s="75">
        <f t="shared" si="33"/>
        <v>157</v>
      </c>
      <c r="D160" s="106" t="str">
        <f t="shared" si="23"/>
        <v>157</v>
      </c>
      <c r="E160" s="107" t="s">
        <v>151</v>
      </c>
      <c r="F160" s="107" t="s">
        <v>42</v>
      </c>
      <c r="G160" s="150">
        <v>999</v>
      </c>
      <c r="H160" s="169" t="s">
        <v>196</v>
      </c>
      <c r="I160" s="150" t="s">
        <v>20</v>
      </c>
      <c r="J160" s="108" t="s">
        <v>20</v>
      </c>
      <c r="K160" s="108" t="s">
        <v>13</v>
      </c>
      <c r="L160" s="108" t="s">
        <v>13</v>
      </c>
      <c r="M160" s="200" t="str">
        <f t="shared" ref="M160:M162" si="34">IF(I160="Sim",F160&amp;" - Entra no Cálculo da Margem",IF(K160="Sim",F160&amp;" - Entra no Cálculo da Margem para aposentado e pensionista",F160&amp;" - Não entra no Cálculo da Margem"))</f>
        <v>Verba Variavel - Entra no Cálculo da Margem para aposentado e pensionista</v>
      </c>
    </row>
    <row r="161" spans="1:13" ht="22.5" x14ac:dyDescent="0.25">
      <c r="A161" s="74">
        <f>IF(ISERROR(SEARCH(Simulador!$Q$5,E161)),0,1)</f>
        <v>1</v>
      </c>
      <c r="B161" s="74">
        <f t="shared" si="32"/>
        <v>158</v>
      </c>
      <c r="C161" s="75">
        <f t="shared" si="33"/>
        <v>158</v>
      </c>
      <c r="D161" s="106" t="str">
        <f t="shared" si="23"/>
        <v>158</v>
      </c>
      <c r="E161" s="107" t="s">
        <v>150</v>
      </c>
      <c r="F161" s="107" t="s">
        <v>42</v>
      </c>
      <c r="G161" s="150">
        <v>999</v>
      </c>
      <c r="H161" s="169" t="s">
        <v>196</v>
      </c>
      <c r="I161" s="108" t="s">
        <v>20</v>
      </c>
      <c r="J161" s="108" t="s">
        <v>20</v>
      </c>
      <c r="K161" s="108" t="s">
        <v>13</v>
      </c>
      <c r="L161" s="108" t="s">
        <v>13</v>
      </c>
      <c r="M161" s="200" t="str">
        <f t="shared" si="34"/>
        <v>Verba Variavel - Entra no Cálculo da Margem para aposentado e pensionista</v>
      </c>
    </row>
    <row r="162" spans="1:13" x14ac:dyDescent="0.25">
      <c r="A162" s="74">
        <f>IF(ISERROR(SEARCH(Simulador!$Q$5,E162)),0,1)</f>
        <v>1</v>
      </c>
      <c r="B162" s="74">
        <f t="shared" ref="B162:B167" si="35">IF(A162=0,B161,A162+B161)</f>
        <v>159</v>
      </c>
      <c r="C162" s="75">
        <f t="shared" ref="C162:C167" si="36">IF(A162=0,0,B162)</f>
        <v>159</v>
      </c>
      <c r="D162" s="106" t="str">
        <f t="shared" si="23"/>
        <v>159</v>
      </c>
      <c r="E162" s="107" t="s">
        <v>86</v>
      </c>
      <c r="F162" s="107" t="s">
        <v>42</v>
      </c>
      <c r="G162" s="150">
        <v>999</v>
      </c>
      <c r="H162" s="169" t="s">
        <v>191</v>
      </c>
      <c r="I162" s="150" t="s">
        <v>20</v>
      </c>
      <c r="J162" s="108" t="s">
        <v>20</v>
      </c>
      <c r="K162" s="108" t="s">
        <v>13</v>
      </c>
      <c r="L162" s="108" t="s">
        <v>13</v>
      </c>
      <c r="M162" s="200" t="str">
        <f t="shared" si="34"/>
        <v>Verba Variavel - Entra no Cálculo da Margem para aposentado e pensionista</v>
      </c>
    </row>
    <row r="163" spans="1:13" ht="34.5" x14ac:dyDescent="0.25">
      <c r="A163" s="74">
        <f>IF(ISERROR(SEARCH(Simulador!$Q$5,E163)),0,1)</f>
        <v>1</v>
      </c>
      <c r="B163" s="74">
        <f t="shared" si="35"/>
        <v>160</v>
      </c>
      <c r="C163" s="75">
        <f t="shared" si="36"/>
        <v>160</v>
      </c>
      <c r="D163" s="106" t="str">
        <f t="shared" si="23"/>
        <v>160</v>
      </c>
      <c r="E163" s="107" t="s">
        <v>149</v>
      </c>
      <c r="F163" s="107" t="s">
        <v>42</v>
      </c>
      <c r="G163" s="150">
        <v>999</v>
      </c>
      <c r="H163" s="218" t="s">
        <v>194</v>
      </c>
      <c r="I163" s="150" t="s">
        <v>20</v>
      </c>
      <c r="J163" s="108" t="s">
        <v>20</v>
      </c>
      <c r="K163" s="108" t="s">
        <v>20</v>
      </c>
      <c r="L163" s="108" t="s">
        <v>20</v>
      </c>
      <c r="M163" s="200" t="str">
        <f t="shared" ref="M163" si="37">IF(I163="Sim",F163&amp;" - Entra no Cálculo da Margem",IF(K163="Sim",F163&amp;" - Entra no Cálculo da Margem para aposentado e pensionista",F163&amp;" - Não entra no Cálculo da Margem"))</f>
        <v>Verba Variavel - Não entra no Cálculo da Margem</v>
      </c>
    </row>
    <row r="164" spans="1:13" ht="22.5" x14ac:dyDescent="0.25">
      <c r="A164" s="74">
        <f>IF(ISERROR(SEARCH(Simulador!$Q$5,E164)),0,1)</f>
        <v>1</v>
      </c>
      <c r="B164" s="74">
        <f t="shared" si="35"/>
        <v>161</v>
      </c>
      <c r="C164" s="75">
        <f t="shared" si="36"/>
        <v>161</v>
      </c>
      <c r="D164" s="106" t="str">
        <f t="shared" si="23"/>
        <v>161</v>
      </c>
      <c r="E164" s="107" t="s">
        <v>176</v>
      </c>
      <c r="F164" s="107" t="s">
        <v>42</v>
      </c>
      <c r="G164" s="150">
        <v>999</v>
      </c>
      <c r="H164" s="169" t="s">
        <v>196</v>
      </c>
      <c r="I164" s="150" t="s">
        <v>20</v>
      </c>
      <c r="J164" s="108" t="s">
        <v>20</v>
      </c>
      <c r="K164" s="108" t="s">
        <v>13</v>
      </c>
      <c r="L164" s="108" t="s">
        <v>13</v>
      </c>
      <c r="M164" s="200" t="str">
        <f t="shared" ref="M164:M165" si="38">IF(I164="Sim",F164&amp;" - Entra no Cálculo da Margem",IF(K164="Sim",F164&amp;" - Entra no Cálculo da Margem para aposentado e pensionista",F164&amp;" - Não entra no Cálculo da Margem"))</f>
        <v>Verba Variavel - Entra no Cálculo da Margem para aposentado e pensionista</v>
      </c>
    </row>
    <row r="165" spans="1:13" x14ac:dyDescent="0.25">
      <c r="A165" s="74">
        <f>IF(ISERROR(SEARCH(Simulador!$Q$5,E165)),0,1)</f>
        <v>1</v>
      </c>
      <c r="B165" s="74">
        <f t="shared" si="35"/>
        <v>162</v>
      </c>
      <c r="C165" s="75">
        <f t="shared" si="36"/>
        <v>162</v>
      </c>
      <c r="D165" s="106" t="str">
        <f t="shared" si="23"/>
        <v>162</v>
      </c>
      <c r="E165" s="107" t="s">
        <v>173</v>
      </c>
      <c r="F165" s="107" t="s">
        <v>42</v>
      </c>
      <c r="G165" s="150">
        <v>999</v>
      </c>
      <c r="H165" s="169" t="s">
        <v>201</v>
      </c>
      <c r="I165" s="108" t="s">
        <v>20</v>
      </c>
      <c r="J165" s="108" t="s">
        <v>20</v>
      </c>
      <c r="K165" s="108" t="s">
        <v>13</v>
      </c>
      <c r="L165" s="108" t="s">
        <v>13</v>
      </c>
      <c r="M165" s="200" t="str">
        <f t="shared" si="38"/>
        <v>Verba Variavel - Entra no Cálculo da Margem para aposentado e pensionista</v>
      </c>
    </row>
    <row r="166" spans="1:13" ht="22.5" x14ac:dyDescent="0.25">
      <c r="A166" s="74">
        <f>IF(ISERROR(SEARCH(Simulador!$Q$5,E166)),0,1)</f>
        <v>1</v>
      </c>
      <c r="B166" s="74">
        <f t="shared" si="35"/>
        <v>163</v>
      </c>
      <c r="C166" s="75">
        <f t="shared" si="36"/>
        <v>163</v>
      </c>
      <c r="D166" s="106" t="str">
        <f t="shared" si="23"/>
        <v>163</v>
      </c>
      <c r="E166" s="107" t="s">
        <v>174</v>
      </c>
      <c r="F166" s="107" t="s">
        <v>42</v>
      </c>
      <c r="G166" s="150">
        <v>999</v>
      </c>
      <c r="H166" s="218" t="s">
        <v>202</v>
      </c>
      <c r="I166" s="150" t="s">
        <v>20</v>
      </c>
      <c r="J166" s="108" t="s">
        <v>20</v>
      </c>
      <c r="K166" s="108" t="s">
        <v>13</v>
      </c>
      <c r="L166" s="108" t="s">
        <v>13</v>
      </c>
      <c r="M166" s="200" t="str">
        <f t="shared" ref="M166:M170" si="39">IF(I166="Sim",F166&amp;" - Entra no Cálculo da Margem",IF(K166="Sim",F166&amp;" - Entra no Cálculo da Margem para aposentado e pensionista",F166&amp;" - Não entra no Cálculo da Margem"))</f>
        <v>Verba Variavel - Entra no Cálculo da Margem para aposentado e pensionista</v>
      </c>
    </row>
    <row r="167" spans="1:13" ht="22.5" x14ac:dyDescent="0.25">
      <c r="A167" s="74">
        <f>IF(ISERROR(SEARCH(Simulador!$Q$5,E167)),0,1)</f>
        <v>1</v>
      </c>
      <c r="B167" s="74">
        <f t="shared" si="35"/>
        <v>164</v>
      </c>
      <c r="C167" s="75">
        <f t="shared" si="36"/>
        <v>164</v>
      </c>
      <c r="D167" s="106" t="str">
        <f t="shared" si="23"/>
        <v>164</v>
      </c>
      <c r="E167" s="107" t="s">
        <v>164</v>
      </c>
      <c r="F167" s="107" t="s">
        <v>44</v>
      </c>
      <c r="G167" s="150">
        <v>999</v>
      </c>
      <c r="H167" s="218" t="s">
        <v>200</v>
      </c>
      <c r="I167" s="108" t="s">
        <v>13</v>
      </c>
      <c r="J167" s="108" t="s">
        <v>13</v>
      </c>
      <c r="K167" s="108" t="s">
        <v>13</v>
      </c>
      <c r="L167" s="108" t="s">
        <v>13</v>
      </c>
      <c r="M167" s="200" t="str">
        <f t="shared" si="39"/>
        <v>Verba Fixa - Entra no Cálculo da Margem</v>
      </c>
    </row>
    <row r="168" spans="1:13" x14ac:dyDescent="0.25">
      <c r="A168" s="74">
        <f>IF(ISERROR(SEARCH(Simulador!$Q$5,E168)),0,1)</f>
        <v>1</v>
      </c>
      <c r="B168" s="74">
        <f t="shared" ref="B168" si="40">IF(A168=0,B167,A168+B167)</f>
        <v>165</v>
      </c>
      <c r="C168" s="75">
        <f t="shared" ref="C168" si="41">IF(A168=0,0,B168)</f>
        <v>165</v>
      </c>
      <c r="D168" s="106" t="str">
        <f t="shared" si="23"/>
        <v>165</v>
      </c>
      <c r="E168" s="107" t="s">
        <v>165</v>
      </c>
      <c r="F168" s="107" t="s">
        <v>42</v>
      </c>
      <c r="G168" s="150">
        <v>999</v>
      </c>
      <c r="H168" s="169" t="s">
        <v>196</v>
      </c>
      <c r="I168" s="108" t="s">
        <v>20</v>
      </c>
      <c r="J168" s="108" t="s">
        <v>20</v>
      </c>
      <c r="K168" s="108" t="s">
        <v>13</v>
      </c>
      <c r="L168" s="108" t="s">
        <v>13</v>
      </c>
      <c r="M168" s="200" t="str">
        <f t="shared" si="39"/>
        <v>Verba Variavel - Entra no Cálculo da Margem para aposentado e pensionista</v>
      </c>
    </row>
    <row r="169" spans="1:13" ht="26.25" x14ac:dyDescent="0.25">
      <c r="A169" s="74">
        <f>IF(ISERROR(SEARCH(Simulador!$Q$5,E169)),0,1)</f>
        <v>1</v>
      </c>
      <c r="B169" s="74">
        <f t="shared" ref="B169:B172" si="42">IF(A169=0,B168,A169+B168)</f>
        <v>166</v>
      </c>
      <c r="C169" s="75">
        <f t="shared" ref="C169:C172" si="43">IF(A169=0,0,B169)</f>
        <v>166</v>
      </c>
      <c r="D169" s="106" t="str">
        <f t="shared" si="23"/>
        <v>166</v>
      </c>
      <c r="E169" s="107" t="s">
        <v>166</v>
      </c>
      <c r="F169" s="107" t="s">
        <v>42</v>
      </c>
      <c r="G169" s="150">
        <v>999</v>
      </c>
      <c r="H169" s="218" t="s">
        <v>252</v>
      </c>
      <c r="I169" s="108" t="s">
        <v>20</v>
      </c>
      <c r="J169" s="108" t="s">
        <v>20</v>
      </c>
      <c r="K169" s="108" t="s">
        <v>13</v>
      </c>
      <c r="L169" s="108" t="s">
        <v>13</v>
      </c>
      <c r="M169" s="200" t="str">
        <f t="shared" si="39"/>
        <v>Verba Variavel - Entra no Cálculo da Margem para aposentado e pensionista</v>
      </c>
    </row>
    <row r="170" spans="1:13" x14ac:dyDescent="0.25">
      <c r="A170" s="74">
        <f>IF(ISERROR(SEARCH(Simulador!$Q$5,E170)),0,1)</f>
        <v>1</v>
      </c>
      <c r="B170" s="74">
        <f t="shared" si="42"/>
        <v>167</v>
      </c>
      <c r="C170" s="75">
        <f t="shared" si="43"/>
        <v>167</v>
      </c>
      <c r="D170" s="106" t="str">
        <f t="shared" si="23"/>
        <v>167</v>
      </c>
      <c r="E170" s="107" t="s">
        <v>171</v>
      </c>
      <c r="F170" s="107" t="s">
        <v>44</v>
      </c>
      <c r="G170" s="150">
        <v>999</v>
      </c>
      <c r="H170" s="218" t="s">
        <v>199</v>
      </c>
      <c r="I170" s="108" t="s">
        <v>13</v>
      </c>
      <c r="J170" s="108" t="s">
        <v>13</v>
      </c>
      <c r="K170" s="108" t="s">
        <v>13</v>
      </c>
      <c r="L170" s="108" t="s">
        <v>13</v>
      </c>
      <c r="M170" s="200" t="str">
        <f t="shared" si="39"/>
        <v>Verba Fixa - Entra no Cálculo da Margem</v>
      </c>
    </row>
    <row r="171" spans="1:13" x14ac:dyDescent="0.25">
      <c r="A171" s="74">
        <f>IF(ISERROR(SEARCH(Simulador!$Q$5,E171)),0,1)</f>
        <v>1</v>
      </c>
      <c r="B171" s="74">
        <f t="shared" si="42"/>
        <v>168</v>
      </c>
      <c r="C171" s="75">
        <f t="shared" si="43"/>
        <v>168</v>
      </c>
      <c r="D171" s="106" t="str">
        <f t="shared" si="23"/>
        <v>168</v>
      </c>
      <c r="E171" s="107" t="s">
        <v>184</v>
      </c>
      <c r="F171" s="107" t="s">
        <v>42</v>
      </c>
      <c r="G171" s="150">
        <v>999</v>
      </c>
      <c r="H171" s="218" t="s">
        <v>196</v>
      </c>
      <c r="I171" s="108" t="s">
        <v>20</v>
      </c>
      <c r="J171" s="108" t="s">
        <v>20</v>
      </c>
      <c r="K171" s="108" t="s">
        <v>13</v>
      </c>
      <c r="L171" s="108" t="s">
        <v>13</v>
      </c>
      <c r="M171" s="200" t="str">
        <f t="shared" ref="M171:M172" si="44">IF(I171="Sim",F171&amp;" - Entra no Cálculo da Margem",IF(K171="Sim",F171&amp;" - Entra no Cálculo da Margem para aposentado e pensionista",F171&amp;" - Não entra no Cálculo da Margem"))</f>
        <v>Verba Variavel - Entra no Cálculo da Margem para aposentado e pensionista</v>
      </c>
    </row>
    <row r="172" spans="1:13" x14ac:dyDescent="0.25">
      <c r="A172" s="74">
        <f>IF(ISERROR(SEARCH(Simulador!$Q$5,E172)),0,1)</f>
        <v>1</v>
      </c>
      <c r="B172" s="74">
        <f t="shared" si="42"/>
        <v>169</v>
      </c>
      <c r="C172" s="75">
        <f t="shared" si="43"/>
        <v>169</v>
      </c>
      <c r="D172" s="106" t="str">
        <f t="shared" si="23"/>
        <v>169</v>
      </c>
      <c r="E172" s="107" t="s">
        <v>163</v>
      </c>
      <c r="F172" s="107" t="s">
        <v>42</v>
      </c>
      <c r="G172" s="150">
        <v>999</v>
      </c>
      <c r="H172" s="218" t="s">
        <v>253</v>
      </c>
      <c r="I172" s="108" t="s">
        <v>20</v>
      </c>
      <c r="J172" s="108" t="s">
        <v>20</v>
      </c>
      <c r="K172" s="108" t="s">
        <v>13</v>
      </c>
      <c r="L172" s="108" t="s">
        <v>13</v>
      </c>
      <c r="M172" s="200" t="str">
        <f t="shared" si="44"/>
        <v>Verba Variavel - Entra no Cálculo da Margem para aposentado e pensionista</v>
      </c>
    </row>
  </sheetData>
  <sheetProtection algorithmName="SHA-512" hashValue="/yp5HW4BYCPo8RoW+yq0UIbectTEZZiXI3Xuc6DvQP7lGD0Xhw7+9IRgfMKCekuJUiSXu1kDHWefoH9HN2f88Q==" saltValue="4FSSXQzbvFu+TzEIn7ik6g==" spinCount="100000" sheet="1" selectLockedCells="1"/>
  <autoFilter ref="E3:M171">
    <sortState ref="E4:M116">
      <sortCondition ref="E3:E116"/>
    </sortState>
  </autoFilter>
  <sortState ref="E4:L172">
    <sortCondition ref="E4:E172"/>
  </sortState>
  <mergeCells count="5">
    <mergeCell ref="A1:C2"/>
    <mergeCell ref="M1:M2"/>
    <mergeCell ref="I2:J2"/>
    <mergeCell ref="K2:L2"/>
    <mergeCell ref="F1:F2"/>
  </mergeCells>
  <pageMargins left="0.511811024" right="0.511811024" top="0.78740157499999996" bottom="0.78740157499999996" header="0.31496062000000002" footer="0.31496062000000002"/>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
  <dimension ref="A1:C9"/>
  <sheetViews>
    <sheetView showGridLines="0" showRowColHeaders="0" workbookViewId="0">
      <selection activeCell="C12" sqref="C12"/>
    </sheetView>
  </sheetViews>
  <sheetFormatPr defaultColWidth="0" defaultRowHeight="15" x14ac:dyDescent="0.25"/>
  <cols>
    <col min="1" max="1" width="9" style="233" bestFit="1" customWidth="1"/>
    <col min="2" max="2" width="5.7109375" style="233" bestFit="1" customWidth="1"/>
    <col min="3" max="3" width="100.7109375" style="25" customWidth="1"/>
    <col min="4" max="16384" width="9.140625" style="25" hidden="1"/>
  </cols>
  <sheetData>
    <row r="1" spans="1:3" customFormat="1" ht="18.75" x14ac:dyDescent="0.3">
      <c r="A1" s="304" t="s">
        <v>245</v>
      </c>
      <c r="B1" s="305"/>
      <c r="C1" s="306"/>
    </row>
    <row r="2" spans="1:3" customFormat="1" ht="15.75" x14ac:dyDescent="0.25">
      <c r="A2" s="307" t="s">
        <v>246</v>
      </c>
      <c r="B2" s="308"/>
      <c r="C2" s="309"/>
    </row>
    <row r="3" spans="1:3" customFormat="1" x14ac:dyDescent="0.25">
      <c r="A3" s="224" t="s">
        <v>247</v>
      </c>
      <c r="B3" s="225" t="s">
        <v>248</v>
      </c>
      <c r="C3" s="226" t="s">
        <v>249</v>
      </c>
    </row>
    <row r="4" spans="1:3" customFormat="1" x14ac:dyDescent="0.25">
      <c r="A4" s="227">
        <v>43844</v>
      </c>
      <c r="B4" s="228" t="s">
        <v>250</v>
      </c>
      <c r="C4" s="229" t="s">
        <v>251</v>
      </c>
    </row>
    <row r="5" spans="1:3" customFormat="1" x14ac:dyDescent="0.25">
      <c r="A5" s="227">
        <v>44046</v>
      </c>
      <c r="B5" s="228" t="s">
        <v>254</v>
      </c>
      <c r="C5" s="229" t="s">
        <v>255</v>
      </c>
    </row>
    <row r="6" spans="1:3" customFormat="1" x14ac:dyDescent="0.25">
      <c r="A6" s="227">
        <v>44054</v>
      </c>
      <c r="B6" s="228" t="s">
        <v>268</v>
      </c>
      <c r="C6" s="229" t="s">
        <v>255</v>
      </c>
    </row>
    <row r="7" spans="1:3" customFormat="1" x14ac:dyDescent="0.25">
      <c r="A7" s="227">
        <v>44065</v>
      </c>
      <c r="B7" s="228" t="s">
        <v>269</v>
      </c>
      <c r="C7" s="229" t="s">
        <v>255</v>
      </c>
    </row>
    <row r="8" spans="1:3" customFormat="1" x14ac:dyDescent="0.25">
      <c r="A8" s="227">
        <v>44077</v>
      </c>
      <c r="B8" s="228" t="s">
        <v>279</v>
      </c>
      <c r="C8" s="229" t="s">
        <v>255</v>
      </c>
    </row>
    <row r="9" spans="1:3" customFormat="1" x14ac:dyDescent="0.25">
      <c r="A9" s="230"/>
      <c r="B9" s="231"/>
      <c r="C9" s="232"/>
    </row>
  </sheetData>
  <sheetProtection algorithmName="SHA-512" hashValue="LhkfnNvqToYIwFPmbFfuurtQzQSSZKG/A4dJEF0rjG6JtxaQmJvNcfuQR9ATK5AzmEdje9koqSY3Nge6QB2ZLw==" saltValue="rXZ+HFybw4Nt85mOc8otpw==" spinCount="100000" sheet="1" objects="1" scenarios="1"/>
  <mergeCells count="2">
    <mergeCell ref="A1:C1"/>
    <mergeCell ref="A2:C2"/>
  </mergeCells>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vt:i4>
      </vt:variant>
      <vt:variant>
        <vt:lpstr>Intervalos nomeados</vt:lpstr>
      </vt:variant>
      <vt:variant>
        <vt:i4>1</vt:i4>
      </vt:variant>
    </vt:vector>
  </HeadingPairs>
  <TitlesOfParts>
    <vt:vector size="2" baseType="lpstr">
      <vt:lpstr>Simulador</vt:lpstr>
      <vt:lpstr>Simulador!Area_de_impressao</vt:lpstr>
    </vt:vector>
  </TitlesOfParts>
  <Company>Banco Bradesco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Banco Bradesco</dc:creator>
  <cp:lastModifiedBy>helpdesk</cp:lastModifiedBy>
  <cp:lastPrinted>2020-01-10T19:13:02Z</cp:lastPrinted>
  <dcterms:created xsi:type="dcterms:W3CDTF">2017-07-12T15:20:16Z</dcterms:created>
  <dcterms:modified xsi:type="dcterms:W3CDTF">2020-09-02T19:31:06Z</dcterms:modified>
</cp:coreProperties>
</file>