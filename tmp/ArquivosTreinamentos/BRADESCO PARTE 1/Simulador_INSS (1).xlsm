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valeria.jasponte\Documents\BRADESCO\"/>
    </mc:Choice>
  </mc:AlternateContent>
  <xr:revisionPtr revIDLastSave="0" documentId="8_{26DEBEFA-88FA-42B2-9211-2C6EF788C8D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imulador" sheetId="1" r:id="rId1"/>
    <sheet name="Planilha de Calculo" sheetId="2" state="veryHidden" r:id="rId2"/>
    <sheet name="Atualizacoes" sheetId="3" state="veryHidden" r:id="rId3"/>
  </sheets>
  <definedNames>
    <definedName name="_xlnm.Print_Area" localSheetId="0">Simulador!$B$3:$K$35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2" l="1"/>
  <c r="K12" i="2" l="1"/>
  <c r="K11" i="2"/>
  <c r="K10" i="2"/>
  <c r="K9" i="2"/>
  <c r="K8" i="2"/>
  <c r="K7" i="2"/>
  <c r="K6" i="2"/>
  <c r="K5" i="2"/>
  <c r="K4" i="2"/>
  <c r="L12" i="2"/>
  <c r="O12" i="2" s="1"/>
  <c r="L11" i="2"/>
  <c r="O11" i="2" s="1"/>
  <c r="L10" i="2"/>
  <c r="O10" i="2" s="1"/>
  <c r="L9" i="2"/>
  <c r="O9" i="2" s="1"/>
  <c r="L8" i="2"/>
  <c r="O8" i="2" s="1"/>
  <c r="L7" i="2"/>
  <c r="O7" i="2" s="1"/>
  <c r="L6" i="2"/>
  <c r="L5" i="2"/>
  <c r="O5" i="2" s="1"/>
  <c r="L4" i="2"/>
  <c r="E3" i="2"/>
  <c r="F19" i="2" s="1"/>
  <c r="E6" i="2"/>
  <c r="E12" i="2" s="1"/>
  <c r="G28" i="1"/>
  <c r="E8" i="2" s="1"/>
  <c r="O6" i="2" l="1"/>
  <c r="O4" i="2"/>
  <c r="E11" i="2"/>
  <c r="E13" i="2"/>
  <c r="L13" i="2"/>
  <c r="E9" i="2" s="1"/>
  <c r="O13" i="2" l="1"/>
  <c r="E14" i="2"/>
  <c r="E17" i="2" l="1"/>
  <c r="C17" i="2" s="1"/>
  <c r="E18" i="2"/>
  <c r="C18" i="2" s="1"/>
  <c r="E19" i="2"/>
  <c r="C19" i="2" s="1"/>
  <c r="E31" i="1"/>
  <c r="E21" i="2" l="1"/>
  <c r="G31" i="1" s="1"/>
  <c r="H35" i="1"/>
  <c r="M18" i="1" l="1"/>
</calcChain>
</file>

<file path=xl/sharedStrings.xml><?xml version="1.0" encoding="utf-8"?>
<sst xmlns="http://schemas.openxmlformats.org/spreadsheetml/2006/main" count="64" uniqueCount="62">
  <si>
    <t xml:space="preserve">                       SIMULADOR PARA CONCESSÃO DE CRÉDITO CONSIGNADO</t>
  </si>
  <si>
    <t>Data/Hora:</t>
  </si>
  <si>
    <t>Valor</t>
  </si>
  <si>
    <t>Produtos</t>
  </si>
  <si>
    <t>Portabilidade</t>
  </si>
  <si>
    <t>Refinanciamento</t>
  </si>
  <si>
    <t>Selecione o Produto *</t>
  </si>
  <si>
    <t>Portabilidade com Refin</t>
  </si>
  <si>
    <t>Sim</t>
  </si>
  <si>
    <t>ATUALIZAÇÕES DO  SIMULADOR</t>
  </si>
  <si>
    <t>Data</t>
  </si>
  <si>
    <t>Versão</t>
  </si>
  <si>
    <t>Atualização</t>
  </si>
  <si>
    <t>Exército</t>
  </si>
  <si>
    <t>V1</t>
  </si>
  <si>
    <r>
      <t>Versão 01</t>
    </r>
    <r>
      <rPr>
        <u/>
        <sz val="11"/>
        <rFont val="Calibri"/>
        <family val="2"/>
        <scheme val="minor"/>
      </rPr>
      <t xml:space="preserve"> </t>
    </r>
    <r>
      <rPr>
        <u/>
        <sz val="10"/>
        <rFont val="Calibri"/>
        <family val="2"/>
        <scheme val="minor"/>
      </rPr>
      <t>de 14/12/2020</t>
    </r>
  </si>
  <si>
    <t>Base de Cálculo</t>
  </si>
  <si>
    <t>Valor Parcela</t>
  </si>
  <si>
    <t>Empréstimo 4</t>
  </si>
  <si>
    <t>Empréstimo 1</t>
  </si>
  <si>
    <t>Empréstimo 2</t>
  </si>
  <si>
    <t>Empréstimo 3</t>
  </si>
  <si>
    <t>Empréstimo 5</t>
  </si>
  <si>
    <t>Empréstimo 6</t>
  </si>
  <si>
    <t>Empréstimo 7</t>
  </si>
  <si>
    <t>Empréstimo 8</t>
  </si>
  <si>
    <t>Empréstimo 9</t>
  </si>
  <si>
    <t>Port/Refin</t>
  </si>
  <si>
    <t>INSS</t>
  </si>
  <si>
    <t>Total</t>
  </si>
  <si>
    <t>Total das Parcelas</t>
  </si>
  <si>
    <t>Planilha de Cálculo</t>
  </si>
  <si>
    <t>Produto</t>
  </si>
  <si>
    <t>Total Parcelas Refin/Port</t>
  </si>
  <si>
    <t>Parcelas Refin/Port</t>
  </si>
  <si>
    <t>Contrato</t>
  </si>
  <si>
    <t>Margem Bruta 30%</t>
  </si>
  <si>
    <r>
      <t xml:space="preserve">Contratos de Empréstimos            </t>
    </r>
    <r>
      <rPr>
        <b/>
        <i/>
        <sz val="3"/>
        <rFont val="Calibri"/>
        <family val="2"/>
        <scheme val="minor"/>
      </rPr>
      <t>.</t>
    </r>
  </si>
  <si>
    <r>
      <t xml:space="preserve">Total das Parcelas                           </t>
    </r>
    <r>
      <rPr>
        <b/>
        <i/>
        <sz val="3"/>
        <rFont val="Calibri"/>
        <family val="2"/>
        <scheme val="minor"/>
      </rPr>
      <t>.</t>
    </r>
  </si>
  <si>
    <t>Margem Disponível 35%</t>
  </si>
  <si>
    <t>Margem Disponível 30%</t>
  </si>
  <si>
    <t>Margem BBF (Refin/Port)</t>
  </si>
  <si>
    <t>Margem Para Empréstimo</t>
  </si>
  <si>
    <t>Informações do Extrato INSS</t>
  </si>
  <si>
    <t>Variáveis</t>
  </si>
  <si>
    <t>Cálculos</t>
  </si>
  <si>
    <t>Parcela Refin/Port Selecionada?</t>
  </si>
  <si>
    <t>informações do Extrato/Demonstrativo de Empréstimo Consignado:</t>
  </si>
  <si>
    <t xml:space="preserve">Solicitação de Produtos: Reunião do dia 07/12/2020 (Produtos + Regionais): Inclusão de simulador para os produtos Refin, Portabilidade com Refin, Portabilidade, com cálculo de margem em 30% pois o (O INSS esta com previsão de redução da margem de 35% para 30% após 31/12/2020). </t>
  </si>
  <si>
    <t>Base de Cálculo:</t>
  </si>
  <si>
    <t xml:space="preserve">Checagem: </t>
  </si>
  <si>
    <t>Parcelas Selecionadas</t>
  </si>
  <si>
    <r>
      <t xml:space="preserve">Para </t>
    </r>
    <r>
      <rPr>
        <b/>
        <u/>
        <sz val="10"/>
        <color theme="1"/>
        <rFont val="Calibri"/>
        <family val="2"/>
        <scheme val="minor"/>
      </rPr>
      <t>Refinanciamento</t>
    </r>
    <r>
      <rPr>
        <sz val="10"/>
        <color theme="1"/>
        <rFont val="Calibri"/>
        <family val="2"/>
        <scheme val="minor"/>
      </rPr>
      <t xml:space="preserve"> permitido selecionar até duas parcelas</t>
    </r>
  </si>
  <si>
    <r>
      <t xml:space="preserve">Para </t>
    </r>
    <r>
      <rPr>
        <b/>
        <u/>
        <sz val="10"/>
        <color theme="1"/>
        <rFont val="Calibri"/>
        <family val="2"/>
        <scheme val="minor"/>
      </rPr>
      <t>Portabilidade</t>
    </r>
    <r>
      <rPr>
        <sz val="10"/>
        <color theme="1"/>
        <rFont val="Calibri"/>
        <family val="2"/>
        <scheme val="minor"/>
      </rPr>
      <t xml:space="preserve"> e </t>
    </r>
    <r>
      <rPr>
        <b/>
        <u/>
        <sz val="10"/>
        <color theme="1"/>
        <rFont val="Calibri"/>
        <family val="2"/>
        <scheme val="minor"/>
      </rPr>
      <t>Refin da Portabilidade</t>
    </r>
    <r>
      <rPr>
        <sz val="10"/>
        <color theme="1"/>
        <rFont val="Calibri"/>
        <family val="2"/>
        <scheme val="minor"/>
      </rPr>
      <t>, permitido selecionar 1 única parcelas</t>
    </r>
  </si>
  <si>
    <t>Validador</t>
  </si>
  <si>
    <t>Mensagens</t>
  </si>
  <si>
    <t>Mensagem a ser aplicada:</t>
  </si>
  <si>
    <t>Selecionado mais de 2 parcelas p/ Refin?</t>
  </si>
  <si>
    <t>Selecionado + de 1 parcela p/ Port ou p/ Port c/Refin?</t>
  </si>
  <si>
    <t>Selecionar pelo menos uma parcela como Port/Refin</t>
  </si>
  <si>
    <t>Atenção!</t>
  </si>
  <si>
    <t>Selecionar no máximo 2 parcelas para Refinanciamento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</si>
</sst>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5" formatCode="#,##0.00_ ;[Red]\-#,##0.00\ "/>
    <numFmt numFmtId="166" formatCode="000000000\-00"/>
    <numFmt numFmtId="167" formatCode="_-* #,##0.00000000_-;\-* #,##0.00000000_-;_-* &quot;-&quot;??_-;_-@_-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i/>
      <u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i/>
      <u/>
      <sz val="12"/>
      <color theme="3" tint="-0.249977111117893"/>
      <name val="Calibri"/>
      <family val="2"/>
      <scheme val="minor"/>
    </font>
    <font>
      <b/>
      <sz val="7"/>
      <color rgb="FFFF0000"/>
      <name val="Arial"/>
      <family val="2"/>
    </font>
    <font>
      <sz val="12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i/>
      <sz val="15"/>
      <color theme="0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8"/>
      <color theme="1"/>
      <name val="Arial"/>
      <family val="2"/>
    </font>
    <font>
      <b/>
      <sz val="13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0"/>
      <name val="Calibri"/>
      <family val="2"/>
      <scheme val="minor"/>
    </font>
    <font>
      <sz val="7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i/>
      <sz val="13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u/>
      <sz val="13"/>
      <name val="Calibri"/>
      <family val="2"/>
      <scheme val="minor"/>
    </font>
    <font>
      <b/>
      <i/>
      <sz val="13"/>
      <color theme="0"/>
      <name val="Calibri"/>
      <family val="2"/>
      <scheme val="minor"/>
    </font>
    <font>
      <b/>
      <i/>
      <u/>
      <sz val="8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i/>
      <sz val="11"/>
      <color rgb="FF002060"/>
      <name val="Calibri"/>
      <family val="2"/>
      <scheme val="minor"/>
    </font>
    <font>
      <b/>
      <i/>
      <sz val="8"/>
      <color rgb="FF002060"/>
      <name val="Calibri"/>
      <family val="2"/>
      <scheme val="minor"/>
    </font>
    <font>
      <b/>
      <i/>
      <sz val="10"/>
      <color theme="3" tint="0.3999755851924192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3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5"/>
      <color theme="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theme="2"/>
      </left>
      <right/>
      <top style="hair">
        <color theme="2"/>
      </top>
      <bottom style="hair">
        <color theme="2"/>
      </bottom>
      <diagonal/>
    </border>
    <border>
      <left/>
      <right style="hair">
        <color theme="2"/>
      </right>
      <top style="hair">
        <color theme="2"/>
      </top>
      <bottom style="hair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theme="3" tint="0.39994506668294322"/>
      </left>
      <right/>
      <top style="hair">
        <color theme="3" tint="0.39994506668294322"/>
      </top>
      <bottom/>
      <diagonal/>
    </border>
    <border>
      <left/>
      <right/>
      <top style="hair">
        <color theme="3" tint="0.39994506668294322"/>
      </top>
      <bottom/>
      <diagonal/>
    </border>
    <border>
      <left style="hair">
        <color theme="3" tint="0.39994506668294322"/>
      </left>
      <right/>
      <top/>
      <bottom/>
      <diagonal/>
    </border>
    <border>
      <left/>
      <right style="hair">
        <color theme="3" tint="0.39994506668294322"/>
      </right>
      <top/>
      <bottom/>
      <diagonal/>
    </border>
    <border>
      <left style="hair">
        <color theme="3" tint="0.39994506668294322"/>
      </left>
      <right/>
      <top/>
      <bottom style="hair">
        <color theme="3" tint="0.39994506668294322"/>
      </bottom>
      <diagonal/>
    </border>
    <border>
      <left/>
      <right/>
      <top/>
      <bottom style="hair">
        <color theme="3" tint="0.39994506668294322"/>
      </bottom>
      <diagonal/>
    </border>
    <border>
      <left/>
      <right style="hair">
        <color theme="3" tint="0.39994506668294322"/>
      </right>
      <top/>
      <bottom style="hair">
        <color theme="3" tint="0.39994506668294322"/>
      </bottom>
      <diagonal/>
    </border>
    <border>
      <left/>
      <right style="hair">
        <color theme="3" tint="0.59996337778862885"/>
      </right>
      <top/>
      <bottom/>
      <diagonal/>
    </border>
    <border>
      <left style="hair">
        <color theme="2"/>
      </left>
      <right/>
      <top style="thin">
        <color indexed="64"/>
      </top>
      <bottom style="thick">
        <color theme="0"/>
      </bottom>
      <diagonal/>
    </border>
    <border>
      <left/>
      <right style="hair">
        <color theme="2"/>
      </right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theme="2"/>
      </right>
      <top style="hair">
        <color theme="2"/>
      </top>
      <bottom/>
      <diagonal/>
    </border>
    <border>
      <left style="hair">
        <color theme="3" tint="0.39991454817346722"/>
      </left>
      <right/>
      <top style="hair">
        <color theme="3" tint="0.39991454817346722"/>
      </top>
      <bottom style="hair">
        <color theme="3" tint="0.39994506668294322"/>
      </bottom>
      <diagonal/>
    </border>
    <border>
      <left/>
      <right/>
      <top style="hair">
        <color theme="3" tint="0.39991454817346722"/>
      </top>
      <bottom style="hair">
        <color theme="3" tint="0.39994506668294322"/>
      </bottom>
      <diagonal/>
    </border>
    <border>
      <left/>
      <right style="hair">
        <color theme="3" tint="0.39991454817346722"/>
      </right>
      <top style="hair">
        <color theme="3" tint="0.39991454817346722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73">
    <xf numFmtId="0" fontId="0" fillId="0" borderId="0" xfId="0"/>
    <xf numFmtId="0" fontId="2" fillId="0" borderId="0" xfId="0" applyFont="1"/>
    <xf numFmtId="0" fontId="0" fillId="0" borderId="2" xfId="0" applyBorder="1" applyProtection="1"/>
    <xf numFmtId="0" fontId="2" fillId="0" borderId="3" xfId="0" applyFont="1" applyBorder="1" applyProtection="1"/>
    <xf numFmtId="0" fontId="7" fillId="3" borderId="1" xfId="0" applyFont="1" applyFill="1" applyBorder="1" applyAlignment="1" applyProtection="1">
      <alignment horizontal="right" vertical="center"/>
    </xf>
    <xf numFmtId="0" fontId="7" fillId="3" borderId="2" xfId="0" applyFont="1" applyFill="1" applyBorder="1" applyAlignment="1" applyProtection="1">
      <alignment horizontal="right" vertical="center"/>
    </xf>
    <xf numFmtId="0" fontId="7" fillId="3" borderId="3" xfId="0" applyFont="1" applyFill="1" applyBorder="1" applyAlignment="1" applyProtection="1">
      <alignment horizontal="right" vertical="center"/>
    </xf>
    <xf numFmtId="0" fontId="2" fillId="0" borderId="5" xfId="0" applyFont="1" applyBorder="1" applyProtection="1"/>
    <xf numFmtId="0" fontId="5" fillId="2" borderId="9" xfId="0" applyFont="1" applyFill="1" applyBorder="1" applyAlignment="1" applyProtection="1">
      <alignment vertical="center"/>
    </xf>
    <xf numFmtId="0" fontId="0" fillId="0" borderId="4" xfId="0" applyBorder="1" applyProtection="1"/>
    <xf numFmtId="0" fontId="0" fillId="0" borderId="0" xfId="0" applyBorder="1" applyProtection="1"/>
    <xf numFmtId="0" fontId="0" fillId="0" borderId="10" xfId="0" applyBorder="1" applyProtection="1"/>
    <xf numFmtId="0" fontId="0" fillId="0" borderId="11" xfId="0" applyBorder="1" applyProtection="1"/>
    <xf numFmtId="14" fontId="8" fillId="3" borderId="5" xfId="0" applyNumberFormat="1" applyFont="1" applyFill="1" applyBorder="1" applyAlignment="1" applyProtection="1">
      <alignment horizontal="center" vertical="center" wrapText="1"/>
    </xf>
    <xf numFmtId="165" fontId="3" fillId="0" borderId="0" xfId="1" applyNumberFormat="1" applyFont="1" applyBorder="1" applyProtection="1"/>
    <xf numFmtId="0" fontId="0" fillId="0" borderId="1" xfId="0" applyBorder="1" applyProtection="1"/>
    <xf numFmtId="0" fontId="0" fillId="4" borderId="0" xfId="0" applyFill="1"/>
    <xf numFmtId="0" fontId="2" fillId="4" borderId="0" xfId="0" applyFont="1" applyFill="1"/>
    <xf numFmtId="0" fontId="15" fillId="0" borderId="0" xfId="0" applyFont="1" applyAlignment="1">
      <alignment horizontal="right"/>
    </xf>
    <xf numFmtId="0" fontId="9" fillId="0" borderId="0" xfId="0" applyFont="1" applyBorder="1" applyAlignment="1" applyProtection="1">
      <alignment vertical="top"/>
    </xf>
    <xf numFmtId="0" fontId="0" fillId="0" borderId="0" xfId="0" applyBorder="1"/>
    <xf numFmtId="0" fontId="11" fillId="3" borderId="0" xfId="0" applyFont="1" applyFill="1" applyBorder="1" applyAlignment="1" applyProtection="1">
      <alignment vertical="center" wrapText="1"/>
    </xf>
    <xf numFmtId="0" fontId="7" fillId="3" borderId="4" xfId="0" applyFont="1" applyFill="1" applyBorder="1" applyAlignment="1" applyProtection="1">
      <alignment horizontal="right" vertical="center"/>
    </xf>
    <xf numFmtId="0" fontId="7" fillId="3" borderId="0" xfId="0" applyFont="1" applyFill="1" applyBorder="1" applyAlignment="1" applyProtection="1">
      <alignment horizontal="right" vertical="center"/>
    </xf>
    <xf numFmtId="0" fontId="7" fillId="3" borderId="5" xfId="0" applyFont="1" applyFill="1" applyBorder="1" applyAlignment="1" applyProtection="1">
      <alignment horizontal="right" vertical="center"/>
    </xf>
    <xf numFmtId="14" fontId="18" fillId="3" borderId="0" xfId="0" applyNumberFormat="1" applyFont="1" applyFill="1"/>
    <xf numFmtId="0" fontId="0" fillId="0" borderId="0" xfId="0" applyAlignment="1">
      <alignment horizontal="left"/>
    </xf>
    <xf numFmtId="0" fontId="20" fillId="0" borderId="0" xfId="0" applyFont="1" applyAlignment="1">
      <alignment horizontal="justify" vertical="center"/>
    </xf>
    <xf numFmtId="0" fontId="0" fillId="0" borderId="0" xfId="0" applyAlignment="1">
      <alignment horizontal="center"/>
    </xf>
    <xf numFmtId="0" fontId="7" fillId="3" borderId="0" xfId="0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left" vertical="center"/>
    </xf>
    <xf numFmtId="0" fontId="23" fillId="0" borderId="5" xfId="0" applyFont="1" applyBorder="1" applyAlignment="1" applyProtection="1">
      <alignment vertical="top" wrapText="1"/>
    </xf>
    <xf numFmtId="0" fontId="25" fillId="0" borderId="0" xfId="0" applyFont="1" applyBorder="1" applyAlignment="1" applyProtection="1">
      <alignment vertical="top" wrapText="1"/>
    </xf>
    <xf numFmtId="0" fontId="25" fillId="0" borderId="0" xfId="0" applyFont="1"/>
    <xf numFmtId="0" fontId="24" fillId="5" borderId="0" xfId="0" applyNumberFormat="1" applyFont="1" applyFill="1" applyBorder="1" applyAlignment="1" applyProtection="1">
      <alignment vertical="center" wrapText="1"/>
    </xf>
    <xf numFmtId="43" fontId="0" fillId="0" borderId="0" xfId="0" applyNumberFormat="1" applyBorder="1" applyProtection="1"/>
    <xf numFmtId="0" fontId="19" fillId="0" borderId="17" xfId="0" applyFont="1" applyBorder="1"/>
    <xf numFmtId="166" fontId="27" fillId="3" borderId="15" xfId="1" applyNumberFormat="1" applyFont="1" applyFill="1" applyBorder="1" applyAlignment="1" applyProtection="1">
      <alignment horizontal="center" vertical="center"/>
      <protection locked="0"/>
    </xf>
    <xf numFmtId="0" fontId="28" fillId="7" borderId="0" xfId="0" applyFont="1" applyFill="1" applyBorder="1" applyAlignment="1" applyProtection="1">
      <alignment horizontal="center" vertical="center"/>
    </xf>
    <xf numFmtId="0" fontId="7" fillId="3" borderId="2" xfId="0" applyFont="1" applyFill="1" applyBorder="1" applyAlignment="1" applyProtection="1">
      <alignment vertical="center"/>
    </xf>
    <xf numFmtId="0" fontId="29" fillId="0" borderId="11" xfId="0" applyFont="1" applyBorder="1" applyProtection="1"/>
    <xf numFmtId="0" fontId="30" fillId="0" borderId="0" xfId="0" applyFont="1"/>
    <xf numFmtId="0" fontId="26" fillId="0" borderId="0" xfId="0" applyFont="1" applyAlignment="1">
      <alignment horizontal="left"/>
    </xf>
    <xf numFmtId="0" fontId="22" fillId="9" borderId="20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2" fillId="9" borderId="22" xfId="0" applyFont="1" applyFill="1" applyBorder="1"/>
    <xf numFmtId="14" fontId="0" fillId="0" borderId="23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vertical="center" wrapText="1"/>
    </xf>
    <xf numFmtId="14" fontId="0" fillId="0" borderId="20" xfId="0" applyNumberFormat="1" applyBorder="1" applyAlignment="1">
      <alignment horizontal="center"/>
    </xf>
    <xf numFmtId="14" fontId="0" fillId="0" borderId="20" xfId="0" applyNumberFormat="1" applyBorder="1" applyAlignment="1">
      <alignment horizontal="center" vertical="center"/>
    </xf>
    <xf numFmtId="0" fontId="0" fillId="0" borderId="22" xfId="0" applyBorder="1"/>
    <xf numFmtId="0" fontId="0" fillId="0" borderId="22" xfId="0" applyBorder="1" applyAlignment="1">
      <alignment wrapText="1"/>
    </xf>
    <xf numFmtId="0" fontId="0" fillId="0" borderId="21" xfId="0" applyBorder="1" applyAlignment="1">
      <alignment horizontal="center"/>
    </xf>
    <xf numFmtId="0" fontId="26" fillId="4" borderId="0" xfId="0" applyFont="1" applyFill="1"/>
    <xf numFmtId="0" fontId="26" fillId="0" borderId="0" xfId="0" applyFont="1"/>
    <xf numFmtId="0" fontId="26" fillId="0" borderId="4" xfId="0" applyFont="1" applyBorder="1" applyProtection="1"/>
    <xf numFmtId="14" fontId="37" fillId="3" borderId="5" xfId="0" applyNumberFormat="1" applyFont="1" applyFill="1" applyBorder="1" applyAlignment="1" applyProtection="1">
      <alignment horizontal="center" vertical="center" wrapText="1"/>
    </xf>
    <xf numFmtId="0" fontId="35" fillId="3" borderId="0" xfId="0" applyFont="1" applyFill="1" applyBorder="1" applyAlignment="1" applyProtection="1">
      <alignment vertical="center" wrapText="1"/>
    </xf>
    <xf numFmtId="0" fontId="26" fillId="0" borderId="0" xfId="0" applyFont="1" applyAlignment="1">
      <alignment horizontal="center"/>
    </xf>
    <xf numFmtId="165" fontId="35" fillId="0" borderId="0" xfId="1" applyNumberFormat="1" applyFont="1" applyBorder="1" applyAlignment="1" applyProtection="1">
      <alignment horizontal="center" vertical="center"/>
      <protection locked="0"/>
    </xf>
    <xf numFmtId="0" fontId="35" fillId="3" borderId="25" xfId="0" applyFont="1" applyFill="1" applyBorder="1" applyAlignment="1" applyProtection="1">
      <alignment vertical="center" wrapText="1"/>
    </xf>
    <xf numFmtId="165" fontId="35" fillId="0" borderId="25" xfId="1" applyNumberFormat="1" applyFont="1" applyBorder="1" applyAlignment="1" applyProtection="1">
      <alignment horizontal="center" vertical="center"/>
      <protection locked="0"/>
    </xf>
    <xf numFmtId="0" fontId="40" fillId="3" borderId="26" xfId="0" applyFont="1" applyFill="1" applyBorder="1" applyAlignment="1" applyProtection="1">
      <alignment horizontal="right" vertical="center" wrapText="1" indent="1"/>
    </xf>
    <xf numFmtId="165" fontId="36" fillId="0" borderId="27" xfId="1" applyNumberFormat="1" applyFont="1" applyBorder="1" applyAlignment="1" applyProtection="1">
      <alignment horizontal="center" vertical="center"/>
      <protection locked="0"/>
    </xf>
    <xf numFmtId="0" fontId="35" fillId="3" borderId="29" xfId="0" applyFont="1" applyFill="1" applyBorder="1" applyAlignment="1" applyProtection="1">
      <alignment vertical="center" wrapText="1"/>
    </xf>
    <xf numFmtId="164" fontId="31" fillId="0" borderId="30" xfId="1" applyFont="1" applyBorder="1" applyProtection="1"/>
    <xf numFmtId="0" fontId="0" fillId="4" borderId="0" xfId="0" applyFill="1" applyAlignment="1">
      <alignment vertical="top"/>
    </xf>
    <xf numFmtId="0" fontId="0" fillId="0" borderId="0" xfId="0" applyAlignment="1">
      <alignment vertical="top"/>
    </xf>
    <xf numFmtId="0" fontId="7" fillId="3" borderId="4" xfId="0" applyFont="1" applyFill="1" applyBorder="1" applyAlignment="1" applyProtection="1">
      <alignment horizontal="right" vertical="top"/>
    </xf>
    <xf numFmtId="0" fontId="7" fillId="3" borderId="5" xfId="0" applyFont="1" applyFill="1" applyBorder="1" applyAlignment="1" applyProtection="1">
      <alignment horizontal="right" vertical="top"/>
    </xf>
    <xf numFmtId="0" fontId="21" fillId="0" borderId="0" xfId="0" applyFont="1" applyAlignment="1">
      <alignment horizontal="center"/>
    </xf>
    <xf numFmtId="164" fontId="31" fillId="0" borderId="31" xfId="1" applyFont="1" applyBorder="1" applyProtection="1"/>
    <xf numFmtId="0" fontId="41" fillId="3" borderId="28" xfId="0" applyFont="1" applyFill="1" applyBorder="1" applyAlignment="1" applyProtection="1">
      <alignment horizontal="right" vertical="center" wrapText="1" indent="1"/>
    </xf>
    <xf numFmtId="0" fontId="26" fillId="0" borderId="17" xfId="0" applyFont="1" applyBorder="1"/>
    <xf numFmtId="164" fontId="26" fillId="0" borderId="17" xfId="1" applyFont="1" applyBorder="1"/>
    <xf numFmtId="0" fontId="31" fillId="0" borderId="17" xfId="0" applyFont="1" applyBorder="1"/>
    <xf numFmtId="164" fontId="31" fillId="0" borderId="17" xfId="1" applyFont="1" applyBorder="1"/>
    <xf numFmtId="0" fontId="7" fillId="3" borderId="11" xfId="0" applyFont="1" applyFill="1" applyBorder="1" applyAlignment="1" applyProtection="1">
      <alignment horizontal="left" vertical="center"/>
    </xf>
    <xf numFmtId="0" fontId="0" fillId="0" borderId="11" xfId="0" applyBorder="1"/>
    <xf numFmtId="0" fontId="7" fillId="3" borderId="1" xfId="0" applyFont="1" applyFill="1" applyBorder="1" applyAlignment="1" applyProtection="1">
      <alignment horizontal="right" vertical="top"/>
    </xf>
    <xf numFmtId="0" fontId="5" fillId="3" borderId="2" xfId="0" applyFont="1" applyFill="1" applyBorder="1" applyAlignment="1" applyProtection="1">
      <alignment horizontal="right" vertical="center"/>
    </xf>
    <xf numFmtId="0" fontId="7" fillId="3" borderId="3" xfId="0" applyFont="1" applyFill="1" applyBorder="1" applyAlignment="1" applyProtection="1">
      <alignment horizontal="left" vertical="top"/>
    </xf>
    <xf numFmtId="0" fontId="7" fillId="3" borderId="5" xfId="0" applyFont="1" applyFill="1" applyBorder="1" applyAlignment="1" applyProtection="1">
      <alignment horizontal="left" vertical="top"/>
    </xf>
    <xf numFmtId="164" fontId="3" fillId="0" borderId="5" xfId="1" applyFont="1" applyBorder="1" applyProtection="1"/>
    <xf numFmtId="0" fontId="39" fillId="3" borderId="4" xfId="0" applyFont="1" applyFill="1" applyBorder="1" applyAlignment="1" applyProtection="1">
      <alignment horizontal="right" vertical="center" indent="1"/>
    </xf>
    <xf numFmtId="164" fontId="26" fillId="0" borderId="5" xfId="1" applyFont="1" applyBorder="1" applyAlignment="1" applyProtection="1">
      <alignment vertical="center"/>
    </xf>
    <xf numFmtId="164" fontId="31" fillId="0" borderId="5" xfId="1" applyFont="1" applyBorder="1" applyProtection="1"/>
    <xf numFmtId="0" fontId="9" fillId="0" borderId="11" xfId="0" applyFont="1" applyBorder="1" applyAlignment="1" applyProtection="1">
      <alignment vertical="top"/>
    </xf>
    <xf numFmtId="43" fontId="0" fillId="0" borderId="12" xfId="0" applyNumberFormat="1" applyBorder="1" applyProtection="1"/>
    <xf numFmtId="0" fontId="38" fillId="3" borderId="2" xfId="0" applyFont="1" applyFill="1" applyBorder="1" applyAlignment="1" applyProtection="1">
      <alignment horizontal="right" vertical="center"/>
    </xf>
    <xf numFmtId="0" fontId="38" fillId="3" borderId="0" xfId="0" applyFont="1" applyFill="1" applyBorder="1" applyAlignment="1" applyProtection="1">
      <alignment horizontal="right" vertical="top"/>
    </xf>
    <xf numFmtId="165" fontId="45" fillId="0" borderId="33" xfId="1" applyNumberFormat="1" applyFont="1" applyBorder="1" applyAlignment="1" applyProtection="1">
      <alignment vertical="center"/>
      <protection locked="0"/>
    </xf>
    <xf numFmtId="165" fontId="45" fillId="0" borderId="32" xfId="1" applyNumberFormat="1" applyFont="1" applyBorder="1" applyAlignment="1" applyProtection="1">
      <alignment horizontal="center" vertical="center"/>
      <protection locked="0"/>
    </xf>
    <xf numFmtId="165" fontId="44" fillId="0" borderId="35" xfId="1" applyNumberFormat="1" applyFont="1" applyBorder="1" applyAlignment="1" applyProtection="1">
      <alignment vertical="top"/>
      <protection locked="0"/>
    </xf>
    <xf numFmtId="164" fontId="43" fillId="0" borderId="37" xfId="1" applyFont="1" applyBorder="1" applyProtection="1"/>
    <xf numFmtId="0" fontId="41" fillId="3" borderId="36" xfId="0" applyFont="1" applyFill="1" applyBorder="1" applyAlignment="1" applyProtection="1">
      <alignment horizontal="right" vertical="center" wrapText="1" indent="1"/>
    </xf>
    <xf numFmtId="0" fontId="41" fillId="3" borderId="37" xfId="0" applyFont="1" applyFill="1" applyBorder="1" applyAlignment="1" applyProtection="1">
      <alignment horizontal="center" vertical="top" wrapText="1"/>
    </xf>
    <xf numFmtId="165" fontId="44" fillId="0" borderId="29" xfId="1" applyNumberFormat="1" applyFont="1" applyBorder="1" applyAlignment="1" applyProtection="1">
      <alignment horizontal="center" vertical="center"/>
    </xf>
    <xf numFmtId="167" fontId="0" fillId="0" borderId="0" xfId="0" applyNumberFormat="1" applyAlignment="1">
      <alignment horizontal="left"/>
    </xf>
    <xf numFmtId="0" fontId="48" fillId="0" borderId="17" xfId="0" applyFont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0" fillId="0" borderId="0" xfId="0" applyAlignment="1"/>
    <xf numFmtId="0" fontId="34" fillId="3" borderId="38" xfId="0" applyFont="1" applyFill="1" applyBorder="1" applyAlignment="1" applyProtection="1">
      <alignment horizontal="right" vertical="center" wrapText="1" indent="1"/>
    </xf>
    <xf numFmtId="0" fontId="49" fillId="3" borderId="26" xfId="0" applyFont="1" applyFill="1" applyBorder="1" applyAlignment="1" applyProtection="1">
      <alignment horizontal="right" vertical="center" wrapText="1" indent="1"/>
    </xf>
    <xf numFmtId="0" fontId="49" fillId="3" borderId="24" xfId="0" applyFont="1" applyFill="1" applyBorder="1" applyAlignment="1" applyProtection="1">
      <alignment horizontal="right" vertical="center" wrapText="1" indent="1"/>
    </xf>
    <xf numFmtId="0" fontId="50" fillId="3" borderId="0" xfId="0" applyFont="1" applyFill="1" applyBorder="1" applyAlignment="1" applyProtection="1">
      <alignment horizontal="right" vertical="top"/>
    </xf>
    <xf numFmtId="0" fontId="0" fillId="10" borderId="0" xfId="0" applyFill="1"/>
    <xf numFmtId="0" fontId="26" fillId="10" borderId="0" xfId="0" applyFont="1" applyFill="1" applyAlignment="1">
      <alignment horizontal="left"/>
    </xf>
    <xf numFmtId="0" fontId="0" fillId="10" borderId="0" xfId="0" applyFill="1" applyAlignment="1">
      <alignment horizontal="center"/>
    </xf>
    <xf numFmtId="0" fontId="19" fillId="10" borderId="0" xfId="0" applyFont="1" applyFill="1"/>
    <xf numFmtId="164" fontId="0" fillId="10" borderId="0" xfId="0" applyNumberFormat="1" applyFill="1" applyAlignment="1">
      <alignment horizontal="center"/>
    </xf>
    <xf numFmtId="164" fontId="0" fillId="10" borderId="0" xfId="1" applyFont="1" applyFill="1" applyAlignment="1">
      <alignment horizontal="right"/>
    </xf>
    <xf numFmtId="164" fontId="19" fillId="10" borderId="0" xfId="1" applyFont="1" applyFill="1" applyAlignment="1">
      <alignment horizontal="right"/>
    </xf>
    <xf numFmtId="0" fontId="0" fillId="10" borderId="0" xfId="0" applyFill="1" applyAlignment="1">
      <alignment horizontal="right"/>
    </xf>
    <xf numFmtId="164" fontId="0" fillId="0" borderId="0" xfId="1" applyFont="1" applyAlignment="1">
      <alignment horizontal="right"/>
    </xf>
    <xf numFmtId="0" fontId="19" fillId="0" borderId="0" xfId="0" applyFont="1" applyAlignment="1">
      <alignment horizontal="left"/>
    </xf>
    <xf numFmtId="0" fontId="31" fillId="11" borderId="17" xfId="0" applyFont="1" applyFill="1" applyBorder="1" applyAlignment="1">
      <alignment horizontal="center"/>
    </xf>
    <xf numFmtId="0" fontId="31" fillId="11" borderId="17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left"/>
    </xf>
    <xf numFmtId="0" fontId="0" fillId="10" borderId="11" xfId="0" applyFill="1" applyBorder="1"/>
    <xf numFmtId="164" fontId="0" fillId="10" borderId="11" xfId="1" applyFont="1" applyFill="1" applyBorder="1" applyAlignment="1">
      <alignment horizontal="right"/>
    </xf>
    <xf numFmtId="0" fontId="0" fillId="10" borderId="11" xfId="0" applyFill="1" applyBorder="1" applyAlignment="1">
      <alignment horizontal="center"/>
    </xf>
    <xf numFmtId="0" fontId="19" fillId="10" borderId="0" xfId="0" applyFont="1" applyFill="1" applyAlignment="1">
      <alignment vertical="center"/>
    </xf>
    <xf numFmtId="0" fontId="26" fillId="11" borderId="17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164" fontId="26" fillId="10" borderId="17" xfId="1" applyFont="1" applyFill="1" applyBorder="1" applyAlignment="1">
      <alignment horizontal="center" vertical="center"/>
    </xf>
    <xf numFmtId="0" fontId="26" fillId="10" borderId="17" xfId="0" applyFont="1" applyFill="1" applyBorder="1" applyAlignment="1">
      <alignment horizontal="left" vertical="center" wrapText="1"/>
    </xf>
    <xf numFmtId="0" fontId="26" fillId="10" borderId="17" xfId="0" applyFont="1" applyFill="1" applyBorder="1" applyAlignment="1">
      <alignment vertical="center" wrapText="1"/>
    </xf>
    <xf numFmtId="0" fontId="31" fillId="10" borderId="0" xfId="0" applyFont="1" applyFill="1" applyBorder="1" applyAlignment="1">
      <alignment vertical="center" wrapText="1"/>
    </xf>
    <xf numFmtId="0" fontId="31" fillId="10" borderId="0" xfId="0" applyFont="1" applyFill="1" applyAlignment="1">
      <alignment horizontal="center" vertical="center"/>
    </xf>
    <xf numFmtId="164" fontId="19" fillId="10" borderId="0" xfId="1" applyFont="1" applyFill="1" applyAlignment="1">
      <alignment horizontal="left"/>
    </xf>
    <xf numFmtId="0" fontId="20" fillId="4" borderId="0" xfId="0" applyFont="1" applyFill="1" applyAlignment="1">
      <alignment horizontal="justify" vertical="center"/>
    </xf>
    <xf numFmtId="0" fontId="0" fillId="4" borderId="0" xfId="0" applyFill="1" applyAlignment="1">
      <alignment horizontal="left"/>
    </xf>
    <xf numFmtId="14" fontId="18" fillId="4" borderId="0" xfId="0" applyNumberFormat="1" applyFont="1" applyFill="1"/>
    <xf numFmtId="0" fontId="54" fillId="4" borderId="0" xfId="0" applyFont="1" applyFill="1" applyAlignment="1">
      <alignment horizontal="center" vertical="center"/>
    </xf>
    <xf numFmtId="164" fontId="19" fillId="10" borderId="0" xfId="1" applyFont="1" applyFill="1" applyAlignment="1">
      <alignment horizontal="left" vertical="center"/>
    </xf>
    <xf numFmtId="0" fontId="54" fillId="4" borderId="0" xfId="0" applyFont="1" applyFill="1" applyAlignment="1">
      <alignment horizontal="center" vertical="center" wrapText="1"/>
    </xf>
    <xf numFmtId="22" fontId="12" fillId="2" borderId="13" xfId="0" applyNumberFormat="1" applyFont="1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center" vertical="center"/>
    </xf>
    <xf numFmtId="0" fontId="14" fillId="0" borderId="4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14" fillId="0" borderId="5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top"/>
    </xf>
    <xf numFmtId="0" fontId="4" fillId="0" borderId="0" xfId="0" applyFont="1" applyBorder="1" applyAlignment="1" applyProtection="1">
      <alignment horizontal="center" vertical="top"/>
    </xf>
    <xf numFmtId="0" fontId="4" fillId="0" borderId="5" xfId="0" applyFont="1" applyBorder="1" applyAlignment="1" applyProtection="1">
      <alignment horizontal="center" vertical="top"/>
    </xf>
    <xf numFmtId="0" fontId="4" fillId="0" borderId="6" xfId="0" applyFont="1" applyBorder="1" applyAlignment="1" applyProtection="1">
      <alignment horizontal="center" vertical="top"/>
    </xf>
    <xf numFmtId="0" fontId="4" fillId="0" borderId="7" xfId="0" applyFont="1" applyBorder="1" applyAlignment="1" applyProtection="1">
      <alignment horizontal="center" vertical="top"/>
    </xf>
    <xf numFmtId="0" fontId="4" fillId="0" borderId="8" xfId="0" applyFont="1" applyBorder="1" applyAlignment="1" applyProtection="1">
      <alignment horizontal="center" vertical="top"/>
    </xf>
    <xf numFmtId="22" fontId="15" fillId="0" borderId="0" xfId="0" applyNumberFormat="1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165" fontId="53" fillId="3" borderId="15" xfId="1" applyNumberFormat="1" applyFont="1" applyFill="1" applyBorder="1" applyAlignment="1" applyProtection="1">
      <alignment horizontal="center" vertical="center" wrapText="1"/>
      <protection hidden="1"/>
    </xf>
    <xf numFmtId="165" fontId="53" fillId="3" borderId="16" xfId="1" applyNumberFormat="1" applyFont="1" applyFill="1" applyBorder="1" applyAlignment="1" applyProtection="1">
      <alignment horizontal="center" vertical="center" wrapText="1"/>
      <protection hidden="1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46" fillId="6" borderId="18" xfId="0" applyFont="1" applyFill="1" applyBorder="1" applyAlignment="1" applyProtection="1">
      <alignment horizontal="center" vertical="center"/>
    </xf>
    <xf numFmtId="0" fontId="46" fillId="6" borderId="34" xfId="0" applyFont="1" applyFill="1" applyBorder="1" applyAlignment="1" applyProtection="1">
      <alignment horizontal="center" vertical="center"/>
    </xf>
    <xf numFmtId="0" fontId="46" fillId="6" borderId="19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/>
    </xf>
    <xf numFmtId="0" fontId="6" fillId="2" borderId="14" xfId="0" applyFont="1" applyFill="1" applyBorder="1" applyAlignment="1" applyProtection="1">
      <alignment horizontal="right"/>
    </xf>
    <xf numFmtId="0" fontId="19" fillId="10" borderId="0" xfId="0" applyFont="1" applyFill="1" applyBorder="1" applyAlignment="1">
      <alignment horizontal="center" vertical="center" textRotation="90" wrapText="1"/>
    </xf>
    <xf numFmtId="0" fontId="51" fillId="10" borderId="0" xfId="0" applyFont="1" applyFill="1" applyAlignment="1">
      <alignment horizontal="center" vertical="center" textRotation="90"/>
    </xf>
    <xf numFmtId="0" fontId="42" fillId="10" borderId="7" xfId="0" applyFont="1" applyFill="1" applyBorder="1" applyAlignment="1">
      <alignment horizontal="center"/>
    </xf>
    <xf numFmtId="0" fontId="26" fillId="11" borderId="17" xfId="0" applyFont="1" applyFill="1" applyBorder="1" applyAlignment="1">
      <alignment horizontal="center" vertical="center" wrapText="1"/>
    </xf>
    <xf numFmtId="0" fontId="31" fillId="11" borderId="17" xfId="0" applyFont="1" applyFill="1" applyBorder="1" applyAlignment="1">
      <alignment horizontal="center" vertical="center" wrapText="1"/>
    </xf>
    <xf numFmtId="0" fontId="19" fillId="0" borderId="18" xfId="0" applyFont="1" applyBorder="1" applyAlignment="1">
      <alignment horizontal="center" wrapText="1"/>
    </xf>
    <xf numFmtId="0" fontId="19" fillId="0" borderId="19" xfId="0" applyFont="1" applyBorder="1" applyAlignment="1">
      <alignment horizontal="center" wrapText="1"/>
    </xf>
    <xf numFmtId="0" fontId="32" fillId="8" borderId="1" xfId="0" applyFont="1" applyFill="1" applyBorder="1" applyAlignment="1">
      <alignment horizontal="center"/>
    </xf>
    <xf numFmtId="0" fontId="32" fillId="8" borderId="2" xfId="0" applyFont="1" applyFill="1" applyBorder="1" applyAlignment="1">
      <alignment horizontal="center"/>
    </xf>
    <xf numFmtId="0" fontId="32" fillId="8" borderId="3" xfId="0" applyFont="1" applyFill="1" applyBorder="1" applyAlignment="1">
      <alignment horizontal="center"/>
    </xf>
    <xf numFmtId="0" fontId="33" fillId="8" borderId="4" xfId="0" applyFont="1" applyFill="1" applyBorder="1" applyAlignment="1">
      <alignment horizontal="center"/>
    </xf>
    <xf numFmtId="0" fontId="33" fillId="8" borderId="0" xfId="0" applyFont="1" applyFill="1" applyBorder="1" applyAlignment="1">
      <alignment horizontal="center"/>
    </xf>
    <xf numFmtId="0" fontId="33" fillId="8" borderId="5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24">
    <dxf>
      <font>
        <b/>
        <i/>
        <color auto="1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/>
        <strike val="0"/>
        <u val="none"/>
        <color rgb="FF00206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C000"/>
        </patternFill>
      </fill>
    </dxf>
    <dxf>
      <border>
        <bottom style="hair">
          <color theme="0" tint="-0.24994659260841701"/>
        </bottom>
        <vertical/>
        <horizontal/>
      </border>
    </dxf>
    <dxf>
      <fill>
        <patternFill>
          <bgColor theme="0" tint="-4.9989318521683403E-2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 val="0"/>
        <strike val="0"/>
        <u val="none"/>
        <color rgb="FF002060"/>
      </font>
    </dxf>
    <dxf>
      <font>
        <b/>
        <i/>
        <strike val="0"/>
        <u val="none"/>
        <color rgb="FF002060"/>
      </font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ill>
        <patternFill>
          <bgColor theme="0" tint="-4.9989318521683403E-2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1019175</xdr:colOff>
          <xdr:row>32</xdr:row>
          <xdr:rowOff>47625</xdr:rowOff>
        </xdr:from>
        <xdr:to>
          <xdr:col>8</xdr:col>
          <xdr:colOff>9525</xdr:colOff>
          <xdr:row>33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Simulador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2705100</xdr:colOff>
          <xdr:row>32</xdr:row>
          <xdr:rowOff>47625</xdr:rowOff>
        </xdr:from>
        <xdr:to>
          <xdr:col>6</xdr:col>
          <xdr:colOff>971550</xdr:colOff>
          <xdr:row>33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Campos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305656</xdr:colOff>
      <xdr:row>24</xdr:row>
      <xdr:rowOff>4198</xdr:rowOff>
    </xdr:from>
    <xdr:to>
      <xdr:col>8</xdr:col>
      <xdr:colOff>26917</xdr:colOff>
      <xdr:row>24</xdr:row>
      <xdr:rowOff>4198</xdr:rowOff>
    </xdr:to>
    <xdr:sp macro="" textlink="">
      <xdr:nvSpPr>
        <xdr:cNvPr id="15" name="Meio-quadr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10800000">
          <a:off x="8821006" y="3347473"/>
          <a:ext cx="35586" cy="0"/>
        </a:xfrm>
        <a:prstGeom prst="halfFrame">
          <a:avLst/>
        </a:prstGeom>
        <a:solidFill>
          <a:schemeClr val="tx2">
            <a:alpha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95251</xdr:colOff>
      <xdr:row>3</xdr:row>
      <xdr:rowOff>114300</xdr:rowOff>
    </xdr:from>
    <xdr:to>
      <xdr:col>4</xdr:col>
      <xdr:colOff>1019176</xdr:colOff>
      <xdr:row>5</xdr:row>
      <xdr:rowOff>66675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5126" y="200025"/>
          <a:ext cx="1323975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19050</xdr:colOff>
      <xdr:row>10</xdr:row>
      <xdr:rowOff>19050</xdr:rowOff>
    </xdr:from>
    <xdr:to>
      <xdr:col>6</xdr:col>
      <xdr:colOff>55050</xdr:colOff>
      <xdr:row>10</xdr:row>
      <xdr:rowOff>91050</xdr:rowOff>
    </xdr:to>
    <xdr:sp macro="" textlink="">
      <xdr:nvSpPr>
        <xdr:cNvPr id="23" name="Meio-quadr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677025" y="1447800"/>
          <a:ext cx="36000" cy="72000"/>
        </a:xfrm>
        <a:prstGeom prst="halfFrame">
          <a:avLst/>
        </a:prstGeom>
        <a:solidFill>
          <a:schemeClr val="tx2">
            <a:alpha val="50000"/>
          </a:schemeClr>
        </a:solidFill>
        <a:ln w="3175" cap="flat" cmpd="sng">
          <a:noFill/>
          <a:miter lim="800000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2781299</xdr:colOff>
      <xdr:row>10</xdr:row>
      <xdr:rowOff>66675</xdr:rowOff>
    </xdr:from>
    <xdr:to>
      <xdr:col>4</xdr:col>
      <xdr:colOff>3019425</xdr:colOff>
      <xdr:row>10</xdr:row>
      <xdr:rowOff>161925</xdr:rowOff>
    </xdr:to>
    <xdr:sp macro="" textlink="">
      <xdr:nvSpPr>
        <xdr:cNvPr id="25" name="Seta para a Direita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238874" y="1838325"/>
          <a:ext cx="238126" cy="95250"/>
        </a:xfrm>
        <a:prstGeom prst="righ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47"/>
  <sheetViews>
    <sheetView showGridLines="0" showRowColHeaders="0" tabSelected="1" topLeftCell="A2" zoomScaleNormal="100" workbookViewId="0">
      <selection activeCell="G11" sqref="G11"/>
    </sheetView>
  </sheetViews>
  <sheetFormatPr defaultColWidth="0" defaultRowHeight="15" zeroHeight="1" x14ac:dyDescent="0.25"/>
  <cols>
    <col min="1" max="1" width="34" style="16" customWidth="1"/>
    <col min="2" max="2" width="5.7109375" customWidth="1"/>
    <col min="3" max="3" width="4.28515625" customWidth="1"/>
    <col min="4" max="4" width="1.7109375" customWidth="1"/>
    <col min="5" max="5" width="47.42578125" customWidth="1"/>
    <col min="6" max="6" width="0.5703125" customWidth="1"/>
    <col min="7" max="7" width="27.85546875" customWidth="1"/>
    <col min="8" max="8" width="9.85546875" customWidth="1"/>
    <col min="9" max="9" width="2" customWidth="1"/>
    <col min="10" max="10" width="1.85546875" style="1" customWidth="1"/>
    <col min="11" max="11" width="5.7109375" customWidth="1"/>
    <col min="12" max="12" width="1.42578125" customWidth="1"/>
    <col min="13" max="13" width="23.5703125" customWidth="1"/>
    <col min="14" max="14" width="17.42578125" hidden="1" customWidth="1"/>
    <col min="15" max="16" width="4.7109375" hidden="1" customWidth="1"/>
    <col min="17" max="17" width="7.85546875" hidden="1" customWidth="1"/>
    <col min="18" max="16384" width="4.7109375" hidden="1"/>
  </cols>
  <sheetData>
    <row r="1" spans="1:13" hidden="1" x14ac:dyDescent="0.25">
      <c r="B1" s="16"/>
      <c r="C1" s="16"/>
      <c r="D1" s="16"/>
      <c r="E1" s="16"/>
      <c r="F1" s="16"/>
      <c r="G1" s="16"/>
      <c r="H1" s="16"/>
      <c r="I1" s="16"/>
      <c r="J1" s="17"/>
      <c r="K1" s="16"/>
      <c r="L1" s="16"/>
    </row>
    <row r="2" spans="1:13" ht="3.75" customHeight="1" x14ac:dyDescent="0.25">
      <c r="B2" s="16"/>
      <c r="C2" s="16"/>
      <c r="D2" s="16"/>
      <c r="E2" s="16"/>
      <c r="F2" s="16"/>
      <c r="G2" s="16"/>
      <c r="H2" s="16"/>
      <c r="I2" s="16"/>
      <c r="J2" s="17"/>
      <c r="K2" s="16"/>
      <c r="L2" s="16"/>
      <c r="M2" s="16"/>
    </row>
    <row r="3" spans="1:13" ht="3" customHeight="1" x14ac:dyDescent="0.25">
      <c r="L3" s="16"/>
      <c r="M3" s="16"/>
    </row>
    <row r="4" spans="1:13" x14ac:dyDescent="0.25">
      <c r="C4" s="15"/>
      <c r="D4" s="2"/>
      <c r="E4" s="2"/>
      <c r="F4" s="2"/>
      <c r="G4" s="2"/>
      <c r="H4" s="2"/>
      <c r="I4" s="2"/>
      <c r="J4" s="3"/>
      <c r="L4" s="16"/>
      <c r="M4" s="16"/>
    </row>
    <row r="5" spans="1:13" ht="24" customHeight="1" x14ac:dyDescent="0.25">
      <c r="C5" s="140" t="s">
        <v>0</v>
      </c>
      <c r="D5" s="141"/>
      <c r="E5" s="141"/>
      <c r="F5" s="141"/>
      <c r="G5" s="141"/>
      <c r="H5" s="141"/>
      <c r="I5" s="141"/>
      <c r="J5" s="142"/>
      <c r="K5" s="27"/>
      <c r="L5" s="132"/>
      <c r="M5" s="16"/>
    </row>
    <row r="6" spans="1:13" x14ac:dyDescent="0.25">
      <c r="C6" s="143" t="s">
        <v>28</v>
      </c>
      <c r="D6" s="144"/>
      <c r="E6" s="144"/>
      <c r="F6" s="144"/>
      <c r="G6" s="144"/>
      <c r="H6" s="144"/>
      <c r="I6" s="144"/>
      <c r="J6" s="145"/>
      <c r="K6" s="27"/>
      <c r="L6" s="132"/>
      <c r="M6" s="16"/>
    </row>
    <row r="7" spans="1:13" ht="14.25" customHeight="1" thickBot="1" x14ac:dyDescent="0.3">
      <c r="C7" s="146"/>
      <c r="D7" s="147"/>
      <c r="E7" s="147"/>
      <c r="F7" s="147"/>
      <c r="G7" s="147"/>
      <c r="H7" s="147"/>
      <c r="I7" s="147"/>
      <c r="J7" s="148"/>
      <c r="K7" s="27"/>
      <c r="L7" s="132"/>
      <c r="M7" s="16"/>
    </row>
    <row r="8" spans="1:13" ht="16.5" thickTop="1" x14ac:dyDescent="0.25">
      <c r="C8" s="138"/>
      <c r="D8" s="139"/>
      <c r="E8" s="8"/>
      <c r="F8" s="8"/>
      <c r="G8" s="158" t="s">
        <v>15</v>
      </c>
      <c r="H8" s="158"/>
      <c r="I8" s="158"/>
      <c r="J8" s="159"/>
      <c r="K8" s="27"/>
      <c r="L8" s="132"/>
      <c r="M8" s="16"/>
    </row>
    <row r="9" spans="1:13" ht="6" customHeight="1" x14ac:dyDescent="0.25">
      <c r="C9" s="4"/>
      <c r="D9" s="5"/>
      <c r="E9" s="5"/>
      <c r="F9" s="5"/>
      <c r="G9" s="39"/>
      <c r="H9" s="39"/>
      <c r="J9" s="6"/>
      <c r="L9" s="16"/>
      <c r="M9" s="16"/>
    </row>
    <row r="10" spans="1:13" ht="7.5" customHeight="1" x14ac:dyDescent="0.25">
      <c r="C10" s="22"/>
      <c r="D10" s="23"/>
      <c r="H10" s="29"/>
      <c r="J10" s="24"/>
      <c r="L10" s="16"/>
      <c r="M10" s="16"/>
    </row>
    <row r="11" spans="1:13" ht="17.25" customHeight="1" x14ac:dyDescent="0.25">
      <c r="C11" s="22"/>
      <c r="D11" s="30"/>
      <c r="E11" s="38" t="s">
        <v>6</v>
      </c>
      <c r="F11" s="23"/>
      <c r="G11" s="37"/>
      <c r="H11" s="29"/>
      <c r="J11" s="24"/>
      <c r="L11" s="16"/>
      <c r="M11" s="16"/>
    </row>
    <row r="12" spans="1:13" ht="9.75" customHeight="1" x14ac:dyDescent="0.25">
      <c r="C12" s="22"/>
      <c r="D12" s="30"/>
      <c r="E12" s="23"/>
      <c r="F12" s="23"/>
      <c r="G12" s="29"/>
      <c r="H12" s="29"/>
      <c r="J12" s="24"/>
      <c r="L12" s="16"/>
      <c r="M12" s="16"/>
    </row>
    <row r="13" spans="1:13" ht="20.25" customHeight="1" x14ac:dyDescent="0.25">
      <c r="C13" s="22"/>
      <c r="D13" s="78"/>
      <c r="E13" s="155" t="s">
        <v>47</v>
      </c>
      <c r="F13" s="156"/>
      <c r="G13" s="156"/>
      <c r="H13" s="157"/>
      <c r="I13" s="79"/>
      <c r="J13" s="24"/>
      <c r="L13" s="16"/>
      <c r="M13" s="16"/>
    </row>
    <row r="14" spans="1:13" s="68" customFormat="1" ht="20.25" customHeight="1" thickBot="1" x14ac:dyDescent="0.3">
      <c r="A14" s="67"/>
      <c r="C14" s="69"/>
      <c r="D14" s="80"/>
      <c r="E14" s="90" t="s">
        <v>49</v>
      </c>
      <c r="F14" s="81"/>
      <c r="G14" s="93"/>
      <c r="H14" s="92"/>
      <c r="I14" s="82"/>
      <c r="J14" s="70"/>
      <c r="L14" s="67"/>
      <c r="M14" s="67"/>
    </row>
    <row r="15" spans="1:13" s="68" customFormat="1" ht="12.75" customHeight="1" thickTop="1" x14ac:dyDescent="0.25">
      <c r="A15" s="67"/>
      <c r="C15" s="69"/>
      <c r="D15" s="69"/>
      <c r="E15" s="94"/>
      <c r="F15" s="94"/>
      <c r="G15" s="94"/>
      <c r="H15" s="94"/>
      <c r="I15" s="83"/>
      <c r="J15" s="70"/>
      <c r="L15" s="67"/>
      <c r="M15" s="67"/>
    </row>
    <row r="16" spans="1:13" s="68" customFormat="1" ht="3" customHeight="1" x14ac:dyDescent="0.25">
      <c r="A16" s="67"/>
      <c r="C16" s="69"/>
      <c r="D16" s="69"/>
      <c r="E16" s="91"/>
      <c r="F16" s="91"/>
      <c r="G16" s="91"/>
      <c r="H16" s="106"/>
      <c r="I16" s="83"/>
      <c r="J16" s="70"/>
      <c r="L16" s="67"/>
      <c r="M16" s="67"/>
    </row>
    <row r="17" spans="1:17" ht="19.5" customHeight="1" x14ac:dyDescent="0.3">
      <c r="C17" s="9"/>
      <c r="D17" s="9"/>
      <c r="E17" s="96" t="s">
        <v>37</v>
      </c>
      <c r="F17" s="95"/>
      <c r="G17" s="97" t="s">
        <v>17</v>
      </c>
      <c r="H17" s="103" t="s">
        <v>27</v>
      </c>
      <c r="I17" s="84"/>
      <c r="J17" s="13"/>
      <c r="L17" s="16"/>
      <c r="M17" s="135" t="s">
        <v>60</v>
      </c>
      <c r="N17" s="71"/>
    </row>
    <row r="18" spans="1:17" s="55" customFormat="1" ht="12.75" customHeight="1" x14ac:dyDescent="0.2">
      <c r="A18" s="54"/>
      <c r="C18" s="56"/>
      <c r="D18" s="85"/>
      <c r="E18" s="105" t="s">
        <v>19</v>
      </c>
      <c r="F18" s="61"/>
      <c r="G18" s="62"/>
      <c r="H18" s="64"/>
      <c r="I18" s="86"/>
      <c r="J18" s="57"/>
      <c r="L18" s="54"/>
      <c r="M18" s="137" t="str">
        <f>IF('Planilha de Calculo'!E21&lt;&gt;"Ok",('Planilha de Calculo'!E21),"Validadores Ok!")</f>
        <v>Validadores Ok!</v>
      </c>
      <c r="N18" s="59"/>
    </row>
    <row r="19" spans="1:17" s="55" customFormat="1" ht="12.75" customHeight="1" x14ac:dyDescent="0.2">
      <c r="A19" s="54"/>
      <c r="C19" s="56"/>
      <c r="D19" s="85"/>
      <c r="E19" s="104" t="s">
        <v>20</v>
      </c>
      <c r="F19" s="58"/>
      <c r="G19" s="62"/>
      <c r="H19" s="64"/>
      <c r="I19" s="87"/>
      <c r="J19" s="57"/>
      <c r="L19" s="54"/>
      <c r="M19" s="137"/>
      <c r="N19" s="59"/>
    </row>
    <row r="20" spans="1:17" s="55" customFormat="1" ht="12.75" customHeight="1" x14ac:dyDescent="0.2">
      <c r="A20" s="54"/>
      <c r="C20" s="56"/>
      <c r="D20" s="85"/>
      <c r="E20" s="104" t="s">
        <v>21</v>
      </c>
      <c r="F20" s="58"/>
      <c r="G20" s="62"/>
      <c r="H20" s="64"/>
      <c r="I20" s="87"/>
      <c r="J20" s="57"/>
      <c r="L20" s="54"/>
      <c r="M20" s="137"/>
      <c r="N20" s="59"/>
      <c r="Q20" s="59"/>
    </row>
    <row r="21" spans="1:17" s="55" customFormat="1" ht="12.75" customHeight="1" x14ac:dyDescent="0.2">
      <c r="A21" s="54"/>
      <c r="C21" s="56"/>
      <c r="D21" s="85"/>
      <c r="E21" s="104" t="s">
        <v>18</v>
      </c>
      <c r="F21" s="58"/>
      <c r="G21" s="62"/>
      <c r="H21" s="64"/>
      <c r="I21" s="87"/>
      <c r="J21" s="57"/>
      <c r="L21" s="54"/>
      <c r="M21" s="137"/>
      <c r="N21" s="59"/>
    </row>
    <row r="22" spans="1:17" s="55" customFormat="1" ht="12.75" customHeight="1" x14ac:dyDescent="0.2">
      <c r="A22" s="54"/>
      <c r="C22" s="56"/>
      <c r="D22" s="85"/>
      <c r="E22" s="104" t="s">
        <v>22</v>
      </c>
      <c r="F22" s="58"/>
      <c r="G22" s="62"/>
      <c r="H22" s="64"/>
      <c r="I22" s="87"/>
      <c r="J22" s="57"/>
      <c r="L22" s="54"/>
      <c r="M22" s="137"/>
      <c r="N22" s="59"/>
    </row>
    <row r="23" spans="1:17" s="55" customFormat="1" ht="12.75" customHeight="1" x14ac:dyDescent="0.2">
      <c r="A23" s="54"/>
      <c r="C23" s="56"/>
      <c r="D23" s="85"/>
      <c r="E23" s="104" t="s">
        <v>23</v>
      </c>
      <c r="F23" s="58"/>
      <c r="G23" s="62"/>
      <c r="H23" s="64"/>
      <c r="I23" s="87"/>
      <c r="J23" s="57"/>
      <c r="L23" s="54"/>
      <c r="M23" s="137"/>
      <c r="N23" s="59"/>
    </row>
    <row r="24" spans="1:17" s="55" customFormat="1" ht="12.75" customHeight="1" x14ac:dyDescent="0.2">
      <c r="A24" s="54"/>
      <c r="C24" s="56"/>
      <c r="D24" s="85"/>
      <c r="E24" s="104" t="s">
        <v>24</v>
      </c>
      <c r="F24" s="58"/>
      <c r="G24" s="62"/>
      <c r="H24" s="64"/>
      <c r="I24" s="87"/>
      <c r="J24" s="57"/>
      <c r="L24" s="54"/>
      <c r="M24" s="137"/>
      <c r="N24" s="59"/>
    </row>
    <row r="25" spans="1:17" s="55" customFormat="1" ht="12.75" customHeight="1" x14ac:dyDescent="0.2">
      <c r="A25" s="54"/>
      <c r="C25" s="56"/>
      <c r="D25" s="85"/>
      <c r="E25" s="104" t="s">
        <v>25</v>
      </c>
      <c r="F25" s="58"/>
      <c r="G25" s="62"/>
      <c r="H25" s="64"/>
      <c r="I25" s="87"/>
      <c r="J25" s="57"/>
      <c r="L25" s="54"/>
      <c r="M25" s="137"/>
      <c r="N25" s="59"/>
    </row>
    <row r="26" spans="1:17" s="55" customFormat="1" ht="12.75" customHeight="1" x14ac:dyDescent="0.2">
      <c r="A26" s="54"/>
      <c r="C26" s="56"/>
      <c r="D26" s="85"/>
      <c r="E26" s="104" t="s">
        <v>26</v>
      </c>
      <c r="F26" s="58"/>
      <c r="G26" s="62"/>
      <c r="H26" s="64"/>
      <c r="I26" s="87"/>
      <c r="J26" s="57"/>
      <c r="L26" s="54"/>
      <c r="M26" s="137"/>
      <c r="N26" s="59"/>
    </row>
    <row r="27" spans="1:17" s="55" customFormat="1" ht="3" customHeight="1" x14ac:dyDescent="0.2">
      <c r="A27" s="54"/>
      <c r="C27" s="56"/>
      <c r="D27" s="85"/>
      <c r="E27" s="63"/>
      <c r="F27" s="58"/>
      <c r="G27" s="60"/>
      <c r="H27" s="72"/>
      <c r="I27" s="87"/>
      <c r="J27" s="57"/>
      <c r="L27" s="54"/>
      <c r="M27" s="137"/>
    </row>
    <row r="28" spans="1:17" s="55" customFormat="1" ht="15.75" customHeight="1" x14ac:dyDescent="0.2">
      <c r="A28" s="54"/>
      <c r="C28" s="56"/>
      <c r="D28" s="85"/>
      <c r="E28" s="73" t="s">
        <v>38</v>
      </c>
      <c r="F28" s="65"/>
      <c r="G28" s="98">
        <f>SUM(G18:G26)</f>
        <v>0</v>
      </c>
      <c r="H28" s="66"/>
      <c r="I28" s="87"/>
      <c r="J28" s="57"/>
      <c r="L28" s="54"/>
      <c r="M28" s="54"/>
    </row>
    <row r="29" spans="1:17" ht="8.25" customHeight="1" x14ac:dyDescent="0.25">
      <c r="C29" s="9"/>
      <c r="D29" s="11"/>
      <c r="E29" s="88"/>
      <c r="F29" s="88"/>
      <c r="G29" s="79"/>
      <c r="H29" s="12"/>
      <c r="I29" s="89"/>
      <c r="J29" s="7"/>
      <c r="K29" s="26"/>
      <c r="L29" s="133"/>
      <c r="M29" s="16"/>
    </row>
    <row r="30" spans="1:17" ht="6" customHeight="1" x14ac:dyDescent="0.25">
      <c r="C30" s="9"/>
      <c r="D30" s="10"/>
      <c r="E30" s="19"/>
      <c r="F30" s="19"/>
      <c r="G30" s="20"/>
      <c r="H30" s="10"/>
      <c r="I30" s="35"/>
      <c r="J30" s="7"/>
      <c r="K30" s="26"/>
      <c r="L30" s="133"/>
      <c r="M30" s="16"/>
    </row>
    <row r="31" spans="1:17" ht="33.950000000000003" customHeight="1" x14ac:dyDescent="0.3">
      <c r="C31" s="9"/>
      <c r="D31" s="10"/>
      <c r="E31" s="34" t="str">
        <f>"Margem Disponível - BBF  ("&amp;G11&amp;")"</f>
        <v>Margem Disponível - BBF  ()</v>
      </c>
      <c r="F31" s="21"/>
      <c r="G31" s="151">
        <f>IF('Planilha de Calculo'!E21&lt;&gt;"Ok","Erro no preenchimento do Simulador!",'Planilha de Calculo'!E14)</f>
        <v>0</v>
      </c>
      <c r="H31" s="152"/>
      <c r="I31" s="14"/>
      <c r="J31" s="7"/>
      <c r="L31" s="16"/>
      <c r="M31" s="16"/>
    </row>
    <row r="32" spans="1:17" ht="9" customHeight="1" x14ac:dyDescent="0.25">
      <c r="C32" s="9"/>
      <c r="D32" s="10"/>
      <c r="E32" s="10"/>
      <c r="F32" s="10"/>
      <c r="G32" s="10"/>
      <c r="H32" s="10"/>
      <c r="I32" s="10"/>
      <c r="J32" s="7"/>
      <c r="L32" s="16"/>
      <c r="M32" s="16"/>
    </row>
    <row r="33" spans="3:13" ht="8.1" customHeight="1" x14ac:dyDescent="0.3">
      <c r="C33" s="9"/>
      <c r="D33" s="33"/>
      <c r="E33" s="33"/>
      <c r="F33" s="32"/>
      <c r="G33" s="32"/>
      <c r="I33" s="32"/>
      <c r="J33" s="31"/>
      <c r="L33" s="16"/>
      <c r="M33" s="16"/>
    </row>
    <row r="34" spans="3:13" ht="21" customHeight="1" x14ac:dyDescent="0.25">
      <c r="C34" s="11"/>
      <c r="D34" s="40"/>
      <c r="E34" s="12"/>
      <c r="F34" s="12"/>
      <c r="G34" s="12"/>
      <c r="H34" s="153"/>
      <c r="I34" s="153"/>
      <c r="J34" s="154"/>
      <c r="L34" s="16"/>
      <c r="M34" s="16"/>
    </row>
    <row r="35" spans="3:13" ht="15" customHeight="1" x14ac:dyDescent="0.25">
      <c r="D35" s="41"/>
      <c r="G35" s="18" t="s">
        <v>1</v>
      </c>
      <c r="H35" s="149">
        <f ca="1">NOW()</f>
        <v>44181.414509837959</v>
      </c>
      <c r="I35" s="150"/>
      <c r="J35" s="150"/>
      <c r="K35" s="25">
        <v>43425</v>
      </c>
      <c r="L35" s="134"/>
      <c r="M35" s="16"/>
    </row>
    <row r="36" spans="3:13" ht="15" hidden="1" customHeight="1" x14ac:dyDescent="0.25">
      <c r="L36" s="16"/>
      <c r="M36" s="16"/>
    </row>
    <row r="37" spans="3:13" hidden="1" x14ac:dyDescent="0.25">
      <c r="L37" s="16"/>
      <c r="M37" s="16"/>
    </row>
    <row r="38" spans="3:13" hidden="1" x14ac:dyDescent="0.25">
      <c r="L38" s="16"/>
      <c r="M38" s="16"/>
    </row>
    <row r="39" spans="3:13" hidden="1" x14ac:dyDescent="0.25">
      <c r="L39" s="16"/>
      <c r="M39" s="16"/>
    </row>
    <row r="40" spans="3:13" hidden="1" x14ac:dyDescent="0.25">
      <c r="L40" s="16"/>
      <c r="M40" s="16"/>
    </row>
    <row r="41" spans="3:13" hidden="1" x14ac:dyDescent="0.25">
      <c r="L41" s="16"/>
      <c r="M41" s="16"/>
    </row>
    <row r="42" spans="3:13" x14ac:dyDescent="0.25">
      <c r="L42" s="16"/>
      <c r="M42" s="16"/>
    </row>
    <row r="43" spans="3:13" x14ac:dyDescent="0.25">
      <c r="L43" s="16"/>
      <c r="M43" s="16"/>
    </row>
    <row r="44" spans="3:13" x14ac:dyDescent="0.25">
      <c r="L44" s="16"/>
      <c r="M44" s="16"/>
    </row>
    <row r="45" spans="3:13" x14ac:dyDescent="0.25">
      <c r="L45" s="16"/>
      <c r="M45" s="16"/>
    </row>
    <row r="46" spans="3:13" x14ac:dyDescent="0.25">
      <c r="L46" s="16"/>
      <c r="M46" s="16"/>
    </row>
    <row r="47" spans="3:13" x14ac:dyDescent="0.25">
      <c r="L47" s="16"/>
      <c r="M47" s="16"/>
    </row>
  </sheetData>
  <sheetProtection algorithmName="SHA-512" hashValue="Pp5Xb7S0+/5C89RomI12Xzqd+k7WafGqGg5/+bhiGHzHth/cafh6Ryx/R3fMYfo77oPb3+rVYxoxKgbOrdUtLA==" saltValue="m5zYudhcRGBfdcdmM7F2zg==" spinCount="100000" sheet="1" objects="1" scenarios="1"/>
  <mergeCells count="9">
    <mergeCell ref="M18:M27"/>
    <mergeCell ref="C8:D8"/>
    <mergeCell ref="C5:J5"/>
    <mergeCell ref="C6:J7"/>
    <mergeCell ref="H35:J35"/>
    <mergeCell ref="G31:H31"/>
    <mergeCell ref="H34:J34"/>
    <mergeCell ref="E13:H13"/>
    <mergeCell ref="G8:J8"/>
  </mergeCells>
  <conditionalFormatting sqref="J17">
    <cfRule type="expression" dxfId="23" priority="97">
      <formula>(OR(#REF!&gt;#REF!,#REF!&gt;#REF!))</formula>
    </cfRule>
  </conditionalFormatting>
  <conditionalFormatting sqref="E17">
    <cfRule type="expression" dxfId="22" priority="99">
      <formula>#REF!&lt;&gt;""</formula>
    </cfRule>
  </conditionalFormatting>
  <conditionalFormatting sqref="F19:F28">
    <cfRule type="expression" dxfId="21" priority="94">
      <formula>#REF!&lt;&gt;""</formula>
    </cfRule>
  </conditionalFormatting>
  <conditionalFormatting sqref="G18">
    <cfRule type="containsBlanks" dxfId="20" priority="66">
      <formula>LEN(TRIM(G18))=0</formula>
    </cfRule>
  </conditionalFormatting>
  <conditionalFormatting sqref="J18">
    <cfRule type="expression" dxfId="19" priority="71">
      <formula>(OR(#REF!&gt;#REF!,#REF!&gt;#REF!))</formula>
    </cfRule>
  </conditionalFormatting>
  <conditionalFormatting sqref="I14:I16">
    <cfRule type="colorScale" priority="48">
      <colorScale>
        <cfvo type="min"/>
        <cfvo type="max"/>
        <color rgb="FFFF7128"/>
        <color rgb="FFFFEF9C"/>
      </colorScale>
    </cfRule>
  </conditionalFormatting>
  <conditionalFormatting sqref="G11">
    <cfRule type="expression" dxfId="18" priority="40">
      <formula>$G$11=""</formula>
    </cfRule>
  </conditionalFormatting>
  <conditionalFormatting sqref="G14">
    <cfRule type="containsBlanks" dxfId="17" priority="35">
      <formula>LEN(TRIM(G14))=0</formula>
    </cfRule>
  </conditionalFormatting>
  <conditionalFormatting sqref="G17">
    <cfRule type="expression" dxfId="16" priority="34">
      <formula>#REF!&lt;&gt;""</formula>
    </cfRule>
  </conditionalFormatting>
  <conditionalFormatting sqref="H17">
    <cfRule type="expression" dxfId="15" priority="27">
      <formula>#REF!&lt;&gt;""</formula>
    </cfRule>
  </conditionalFormatting>
  <conditionalFormatting sqref="D26:D28">
    <cfRule type="expression" dxfId="14" priority="21">
      <formula>#REF!&lt;&gt;""</formula>
    </cfRule>
  </conditionalFormatting>
  <conditionalFormatting sqref="D18">
    <cfRule type="expression" dxfId="13" priority="25">
      <formula>#REF!&lt;&gt;""</formula>
    </cfRule>
  </conditionalFormatting>
  <conditionalFormatting sqref="D19">
    <cfRule type="expression" dxfId="12" priority="24">
      <formula>#REF!&lt;&gt;""</formula>
    </cfRule>
  </conditionalFormatting>
  <conditionalFormatting sqref="D20:D24">
    <cfRule type="expression" dxfId="11" priority="23">
      <formula>#REF!&lt;&gt;""</formula>
    </cfRule>
  </conditionalFormatting>
  <conditionalFormatting sqref="D25">
    <cfRule type="expression" dxfId="10" priority="22">
      <formula>#REF!&lt;&gt;""</formula>
    </cfRule>
  </conditionalFormatting>
  <conditionalFormatting sqref="E18">
    <cfRule type="expression" dxfId="9" priority="20">
      <formula>G18&gt;0</formula>
    </cfRule>
  </conditionalFormatting>
  <conditionalFormatting sqref="E27">
    <cfRule type="expression" dxfId="8" priority="10">
      <formula>G27&gt;0</formula>
    </cfRule>
  </conditionalFormatting>
  <conditionalFormatting sqref="E28">
    <cfRule type="expression" dxfId="7" priority="9">
      <formula>#REF!&lt;&gt;""</formula>
    </cfRule>
  </conditionalFormatting>
  <conditionalFormatting sqref="G19:G26">
    <cfRule type="containsBlanks" dxfId="6" priority="8">
      <formula>LEN(TRIM(G19))=0</formula>
    </cfRule>
  </conditionalFormatting>
  <conditionalFormatting sqref="G19:G26">
    <cfRule type="expression" dxfId="5" priority="7">
      <formula>$G$18&lt;&gt;""</formula>
    </cfRule>
  </conditionalFormatting>
  <conditionalFormatting sqref="G31:H31">
    <cfRule type="expression" dxfId="4" priority="1">
      <formula>$G$31="Erro no preenchimento do Simulador!"</formula>
    </cfRule>
    <cfRule type="expression" dxfId="3" priority="5">
      <formula>OR($G$14&lt;=0,$G$28&lt;=0)</formula>
    </cfRule>
  </conditionalFormatting>
  <conditionalFormatting sqref="E19:E26">
    <cfRule type="expression" dxfId="2" priority="4">
      <formula>G19&gt;0</formula>
    </cfRule>
  </conditionalFormatting>
  <conditionalFormatting sqref="M17">
    <cfRule type="expression" dxfId="1" priority="3">
      <formula>$M$18&lt;&gt;"Validadores Ok!"</formula>
    </cfRule>
  </conditionalFormatting>
  <conditionalFormatting sqref="M18">
    <cfRule type="expression" dxfId="0" priority="2">
      <formula>$M$18&lt;&gt;"Validadores Ok!"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paperSize="9" orientation="landscape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rimir_Simulador_Marinha">
                <anchor moveWithCells="1" sizeWithCells="1">
                  <from>
                    <xdr:col>6</xdr:col>
                    <xdr:colOff>1019175</xdr:colOff>
                    <xdr:row>32</xdr:row>
                    <xdr:rowOff>47625</xdr:rowOff>
                  </from>
                  <to>
                    <xdr:col>8</xdr:col>
                    <xdr:colOff>9525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LImpar_Campos_Simulador_INSS">
                <anchor moveWithCells="1" sizeWithCells="1">
                  <from>
                    <xdr:col>4</xdr:col>
                    <xdr:colOff>2705100</xdr:colOff>
                    <xdr:row>32</xdr:row>
                    <xdr:rowOff>47625</xdr:rowOff>
                  </from>
                  <to>
                    <xdr:col>6</xdr:col>
                    <xdr:colOff>971550</xdr:colOff>
                    <xdr:row>33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'Planilha de Calculo'!$I$3:$I$4</xm:f>
          </x14:formula1>
          <xm:sqref>H18:H26</xm:sqref>
        </x14:dataValidation>
        <x14:dataValidation type="list" allowBlank="1" showInputMessage="1" showErrorMessage="1" xr:uid="{00000000-0002-0000-0000-000001000000}">
          <x14:formula1>
            <xm:f>'Planilha de Calculo'!$I$7:$I$10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O21"/>
  <sheetViews>
    <sheetView showGridLines="0" showRowColHeaders="0" topLeftCell="B1" workbookViewId="0">
      <selection activeCell="B5" sqref="B5"/>
    </sheetView>
  </sheetViews>
  <sheetFormatPr defaultRowHeight="15" x14ac:dyDescent="0.25"/>
  <cols>
    <col min="1" max="1" width="0.85546875" customWidth="1"/>
    <col min="2" max="2" width="5.140625" customWidth="1"/>
    <col min="3" max="3" width="9.140625" style="42"/>
    <col min="4" max="4" width="31.28515625" customWidth="1"/>
    <col min="5" max="5" width="17.85546875" style="115" bestFit="1" customWidth="1"/>
    <col min="6" max="6" width="36.28515625" style="28" customWidth="1"/>
    <col min="7" max="7" width="3.85546875" bestFit="1" customWidth="1"/>
    <col min="8" max="8" width="1.5703125" style="26" customWidth="1"/>
    <col min="9" max="9" width="22.7109375" style="28" bestFit="1" customWidth="1"/>
    <col min="10" max="10" width="1.5703125" style="26" customWidth="1"/>
    <col min="11" max="11" width="11.7109375" bestFit="1" customWidth="1"/>
    <col min="12" max="12" width="7.5703125" bestFit="1" customWidth="1"/>
    <col min="13" max="13" width="1.5703125" style="26" customWidth="1"/>
    <col min="14" max="14" width="14.42578125" customWidth="1"/>
    <col min="15" max="15" width="10.85546875" bestFit="1" customWidth="1"/>
  </cols>
  <sheetData>
    <row r="1" spans="2:15" ht="5.25" customHeight="1" x14ac:dyDescent="0.25">
      <c r="B1" s="107"/>
      <c r="C1" s="108"/>
      <c r="D1" s="107"/>
      <c r="E1" s="112"/>
      <c r="F1" s="109"/>
      <c r="G1" s="107"/>
    </row>
    <row r="2" spans="2:15" ht="20.25" thickBot="1" x14ac:dyDescent="0.35">
      <c r="B2" s="107"/>
      <c r="C2" s="108"/>
      <c r="D2" s="162" t="s">
        <v>31</v>
      </c>
      <c r="E2" s="162"/>
      <c r="F2" s="109"/>
      <c r="G2" s="107"/>
      <c r="I2" s="101" t="s">
        <v>27</v>
      </c>
      <c r="K2" s="165" t="s">
        <v>34</v>
      </c>
      <c r="L2" s="166"/>
      <c r="N2" s="164" t="s">
        <v>50</v>
      </c>
      <c r="O2" s="164"/>
    </row>
    <row r="3" spans="2:15" ht="26.25" thickTop="1" x14ac:dyDescent="0.25">
      <c r="B3" s="107"/>
      <c r="C3" s="108"/>
      <c r="D3" s="123" t="s">
        <v>32</v>
      </c>
      <c r="E3" s="136">
        <f>Simulador!G11</f>
        <v>0</v>
      </c>
      <c r="F3" s="109"/>
      <c r="G3" s="107"/>
      <c r="I3" s="76"/>
      <c r="K3" s="36" t="s">
        <v>35</v>
      </c>
      <c r="L3" s="36" t="s">
        <v>2</v>
      </c>
      <c r="N3" s="163" t="s">
        <v>52</v>
      </c>
      <c r="O3" s="118" t="s">
        <v>51</v>
      </c>
    </row>
    <row r="4" spans="2:15" x14ac:dyDescent="0.25">
      <c r="B4" s="107"/>
      <c r="C4" s="108"/>
      <c r="D4" s="107"/>
      <c r="E4" s="112"/>
      <c r="F4" s="109"/>
      <c r="G4" s="107"/>
      <c r="I4" s="100" t="s">
        <v>8</v>
      </c>
      <c r="K4" s="74" t="str">
        <f>Simulador!E18</f>
        <v>Empréstimo 1</v>
      </c>
      <c r="L4" s="75">
        <f>IF(Simulador!H18="Sim",Simulador!G18,0)</f>
        <v>0</v>
      </c>
      <c r="N4" s="163"/>
      <c r="O4" s="124">
        <f t="shared" ref="O4:O12" si="0">IF(L4&gt;0,1,0)</f>
        <v>0</v>
      </c>
    </row>
    <row r="5" spans="2:15" x14ac:dyDescent="0.25">
      <c r="B5" s="107"/>
      <c r="C5" s="160" t="s">
        <v>43</v>
      </c>
      <c r="D5" s="110" t="s">
        <v>44</v>
      </c>
      <c r="E5" s="113" t="s">
        <v>2</v>
      </c>
      <c r="F5" s="109"/>
      <c r="G5" s="107"/>
      <c r="K5" s="74" t="str">
        <f>Simulador!E19</f>
        <v>Empréstimo 2</v>
      </c>
      <c r="L5" s="75">
        <f>IF(Simulador!H19="Sim",Simulador!G19,0)</f>
        <v>0</v>
      </c>
      <c r="N5" s="163"/>
      <c r="O5" s="124">
        <f t="shared" si="0"/>
        <v>0</v>
      </c>
    </row>
    <row r="6" spans="2:15" x14ac:dyDescent="0.25">
      <c r="B6" s="107"/>
      <c r="C6" s="160"/>
      <c r="D6" s="107" t="s">
        <v>16</v>
      </c>
      <c r="E6" s="112">
        <f>Simulador!G14</f>
        <v>0</v>
      </c>
      <c r="F6" s="109"/>
      <c r="G6" s="107"/>
      <c r="I6" s="116" t="s">
        <v>3</v>
      </c>
      <c r="K6" s="74" t="str">
        <f>Simulador!E20</f>
        <v>Empréstimo 3</v>
      </c>
      <c r="L6" s="75">
        <f>IF(Simulador!H20="Sim",Simulador!G20,0)</f>
        <v>0</v>
      </c>
      <c r="N6" s="163"/>
      <c r="O6" s="124">
        <f t="shared" si="0"/>
        <v>0</v>
      </c>
    </row>
    <row r="7" spans="2:15" x14ac:dyDescent="0.25">
      <c r="B7" s="107"/>
      <c r="C7" s="160"/>
      <c r="D7" s="107" t="s">
        <v>42</v>
      </c>
      <c r="E7" s="114">
        <f>Simulador!G15</f>
        <v>0</v>
      </c>
      <c r="F7" s="109"/>
      <c r="G7" s="107"/>
      <c r="I7" s="102" t="s">
        <v>5</v>
      </c>
      <c r="K7" s="74" t="str">
        <f>Simulador!E21</f>
        <v>Empréstimo 4</v>
      </c>
      <c r="L7" s="75">
        <f>IF(Simulador!H21="Sim",Simulador!G21,0)</f>
        <v>0</v>
      </c>
      <c r="N7" s="163"/>
      <c r="O7" s="124">
        <f t="shared" si="0"/>
        <v>0</v>
      </c>
    </row>
    <row r="8" spans="2:15" x14ac:dyDescent="0.25">
      <c r="B8" s="107"/>
      <c r="C8" s="160"/>
      <c r="D8" s="107" t="s">
        <v>30</v>
      </c>
      <c r="E8" s="112">
        <f>Simulador!G28</f>
        <v>0</v>
      </c>
      <c r="F8" s="109"/>
      <c r="G8" s="107"/>
      <c r="I8" s="102" t="s">
        <v>4</v>
      </c>
      <c r="K8" s="74" t="str">
        <f>Simulador!E22</f>
        <v>Empréstimo 5</v>
      </c>
      <c r="L8" s="75">
        <f>IF(Simulador!H22="Sim",Simulador!G22,0)</f>
        <v>0</v>
      </c>
      <c r="N8" s="163" t="s">
        <v>53</v>
      </c>
      <c r="O8" s="124">
        <f t="shared" si="0"/>
        <v>0</v>
      </c>
    </row>
    <row r="9" spans="2:15" x14ac:dyDescent="0.25">
      <c r="B9" s="107"/>
      <c r="C9" s="160"/>
      <c r="D9" s="107" t="s">
        <v>33</v>
      </c>
      <c r="E9" s="112">
        <f>L13</f>
        <v>0</v>
      </c>
      <c r="F9" s="109"/>
      <c r="G9" s="107"/>
      <c r="I9" s="102" t="s">
        <v>7</v>
      </c>
      <c r="K9" s="74" t="str">
        <f>Simulador!E23</f>
        <v>Empréstimo 6</v>
      </c>
      <c r="L9" s="75">
        <f>IF(Simulador!H23="Sim",Simulador!G23,0)</f>
        <v>0</v>
      </c>
      <c r="N9" s="163"/>
      <c r="O9" s="124">
        <f t="shared" si="0"/>
        <v>0</v>
      </c>
    </row>
    <row r="10" spans="2:15" x14ac:dyDescent="0.25">
      <c r="B10" s="107"/>
      <c r="C10" s="119"/>
      <c r="D10" s="120"/>
      <c r="E10" s="121"/>
      <c r="F10" s="122"/>
      <c r="G10" s="107"/>
      <c r="K10" s="74" t="str">
        <f>Simulador!E24</f>
        <v>Empréstimo 7</v>
      </c>
      <c r="L10" s="75">
        <f>IF(Simulador!H24="Sim",Simulador!G24,0)</f>
        <v>0</v>
      </c>
      <c r="N10" s="163"/>
      <c r="O10" s="124">
        <f t="shared" si="0"/>
        <v>0</v>
      </c>
    </row>
    <row r="11" spans="2:15" x14ac:dyDescent="0.25">
      <c r="B11" s="107"/>
      <c r="C11" s="161" t="s">
        <v>45</v>
      </c>
      <c r="D11" s="107" t="s">
        <v>39</v>
      </c>
      <c r="E11" s="112">
        <f>(E6*35%)-E8</f>
        <v>0</v>
      </c>
      <c r="F11" s="111"/>
      <c r="G11" s="107"/>
      <c r="H11" s="99"/>
      <c r="J11" s="99"/>
      <c r="K11" s="74" t="str">
        <f>Simulador!E25</f>
        <v>Empréstimo 8</v>
      </c>
      <c r="L11" s="75">
        <f>IF(Simulador!H25="Sim",Simulador!G25,0)</f>
        <v>0</v>
      </c>
      <c r="M11" s="99"/>
      <c r="N11" s="163"/>
      <c r="O11" s="124">
        <f t="shared" si="0"/>
        <v>0</v>
      </c>
    </row>
    <row r="12" spans="2:15" x14ac:dyDescent="0.25">
      <c r="B12" s="107"/>
      <c r="C12" s="161"/>
      <c r="D12" s="107" t="s">
        <v>36</v>
      </c>
      <c r="E12" s="112">
        <f>E6*30%</f>
        <v>0</v>
      </c>
      <c r="F12" s="109"/>
      <c r="G12" s="107"/>
      <c r="K12" s="74" t="str">
        <f>Simulador!E26</f>
        <v>Empréstimo 9</v>
      </c>
      <c r="L12" s="75">
        <f>IF(Simulador!H26="Sim",Simulador!G26,0)</f>
        <v>0</v>
      </c>
      <c r="N12" s="163"/>
      <c r="O12" s="124">
        <f t="shared" si="0"/>
        <v>0</v>
      </c>
    </row>
    <row r="13" spans="2:15" x14ac:dyDescent="0.25">
      <c r="B13" s="107"/>
      <c r="C13" s="161"/>
      <c r="D13" s="110" t="s">
        <v>40</v>
      </c>
      <c r="E13" s="113">
        <f>E12-E8</f>
        <v>0</v>
      </c>
      <c r="F13" s="109"/>
      <c r="G13" s="107"/>
      <c r="K13" s="76" t="s">
        <v>29</v>
      </c>
      <c r="L13" s="77">
        <f>SUM(L4:L12)</f>
        <v>0</v>
      </c>
      <c r="N13" s="163"/>
      <c r="O13" s="117">
        <f>SUM(O4:O12)</f>
        <v>0</v>
      </c>
    </row>
    <row r="14" spans="2:15" x14ac:dyDescent="0.25">
      <c r="B14" s="107"/>
      <c r="C14" s="161"/>
      <c r="D14" s="110" t="s">
        <v>41</v>
      </c>
      <c r="E14" s="113">
        <f>E13+E9</f>
        <v>0</v>
      </c>
      <c r="F14" s="109"/>
      <c r="G14" s="107"/>
    </row>
    <row r="15" spans="2:15" x14ac:dyDescent="0.25">
      <c r="B15" s="107"/>
      <c r="C15" s="119"/>
      <c r="D15" s="120"/>
      <c r="E15" s="121"/>
      <c r="F15" s="122"/>
      <c r="G15" s="107"/>
    </row>
    <row r="16" spans="2:15" ht="5.25" customHeight="1" x14ac:dyDescent="0.25">
      <c r="B16" s="107"/>
      <c r="C16" s="108"/>
      <c r="D16" s="107"/>
      <c r="E16" s="112"/>
      <c r="F16" s="109"/>
      <c r="G16" s="107"/>
    </row>
    <row r="17" spans="2:7" ht="25.5" x14ac:dyDescent="0.25">
      <c r="B17" s="161" t="s">
        <v>54</v>
      </c>
      <c r="C17" s="130">
        <f>IF(E17="Não",1,0)</f>
        <v>0</v>
      </c>
      <c r="D17" s="128" t="s">
        <v>46</v>
      </c>
      <c r="E17" s="126" t="str">
        <f>IF(E8=0,"Sim",IF($O$13=0,"Não","Sim"))</f>
        <v>Sim</v>
      </c>
      <c r="F17" s="127" t="s">
        <v>59</v>
      </c>
      <c r="G17" s="161" t="s">
        <v>55</v>
      </c>
    </row>
    <row r="18" spans="2:7" ht="25.5" x14ac:dyDescent="0.25">
      <c r="B18" s="161"/>
      <c r="C18" s="130">
        <f>IF(E18="Sim",1+C17,0)</f>
        <v>0</v>
      </c>
      <c r="D18" s="128" t="s">
        <v>57</v>
      </c>
      <c r="E18" s="126" t="str">
        <f>IF(E3="Refinanciamento",IF($O$13&gt;2,"Sim","Não"),"Não")</f>
        <v>Não</v>
      </c>
      <c r="F18" s="127" t="s">
        <v>61</v>
      </c>
      <c r="G18" s="161"/>
    </row>
    <row r="19" spans="2:7" ht="25.5" x14ac:dyDescent="0.25">
      <c r="B19" s="161"/>
      <c r="C19" s="130">
        <f>IF(E19="Sim",1+C17+C18,0)</f>
        <v>0</v>
      </c>
      <c r="D19" s="128" t="s">
        <v>58</v>
      </c>
      <c r="E19" s="126" t="str">
        <f>IF(E3&lt;&gt;"Refinanciamento",IF($O$13&gt;1,"Sim","Não"),"Não")</f>
        <v>Não</v>
      </c>
      <c r="F19" s="127" t="str">
        <f>"Selecionar somente 1 parcela p/ "&amp;E3</f>
        <v>Selecionar somente 1 parcela p/ 0</v>
      </c>
      <c r="G19" s="161"/>
    </row>
    <row r="20" spans="2:7" x14ac:dyDescent="0.25">
      <c r="B20" s="161"/>
      <c r="C20" s="108"/>
      <c r="D20" s="107"/>
      <c r="E20" s="112"/>
      <c r="F20" s="109"/>
      <c r="G20" s="161"/>
    </row>
    <row r="21" spans="2:7" x14ac:dyDescent="0.25">
      <c r="B21" s="161"/>
      <c r="C21" s="108"/>
      <c r="D21" s="129" t="s">
        <v>56</v>
      </c>
      <c r="E21" s="131" t="str">
        <f>IF(ISNA(VLOOKUP(1,C17:F19,4,0)),"Ok",VLOOKUP(1,C17:F19,4,0))</f>
        <v>Ok</v>
      </c>
      <c r="F21" s="125"/>
      <c r="G21" s="161"/>
    </row>
  </sheetData>
  <sheetProtection algorithmName="SHA-512" hashValue="BykClCxWqZ03MjmNsHzS2XTjQnzB1mj19G/afqVVmbVhZPV2adUbTbvEjSCMFfRHtWPVZ4YobhqyeOZD8xwWgg==" saltValue="7l9q8mbr9s3WYP8KBfPyuQ==" spinCount="100000" sheet="1" objects="1" scenarios="1"/>
  <mergeCells count="9">
    <mergeCell ref="C5:C9"/>
    <mergeCell ref="C11:C14"/>
    <mergeCell ref="D2:E2"/>
    <mergeCell ref="B17:B21"/>
    <mergeCell ref="N8:N13"/>
    <mergeCell ref="N3:N7"/>
    <mergeCell ref="N2:O2"/>
    <mergeCell ref="K2:L2"/>
    <mergeCell ref="G17:G21"/>
  </mergeCells>
  <pageMargins left="0.511811024" right="0.511811024" top="0.78740157499999996" bottom="0.78740157499999996" header="0.31496062000000002" footer="0.31496062000000002"/>
  <pageSetup paperSize="9" orientation="portrait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20"/>
  <sheetViews>
    <sheetView showGridLines="0" showRowColHeaders="0" workbookViewId="0">
      <selection activeCell="C9" sqref="C9"/>
    </sheetView>
  </sheetViews>
  <sheetFormatPr defaultRowHeight="15" x14ac:dyDescent="0.25"/>
  <cols>
    <col min="1" max="1" width="10.7109375" bestFit="1" customWidth="1"/>
    <col min="2" max="2" width="7.140625" bestFit="1" customWidth="1"/>
    <col min="3" max="3" width="138.28515625" customWidth="1"/>
  </cols>
  <sheetData>
    <row r="1" spans="1:3" ht="18.75" x14ac:dyDescent="0.3">
      <c r="A1" s="167" t="s">
        <v>9</v>
      </c>
      <c r="B1" s="168"/>
      <c r="C1" s="169"/>
    </row>
    <row r="2" spans="1:3" ht="15.75" x14ac:dyDescent="0.25">
      <c r="A2" s="170" t="s">
        <v>13</v>
      </c>
      <c r="B2" s="171"/>
      <c r="C2" s="172"/>
    </row>
    <row r="3" spans="1:3" x14ac:dyDescent="0.25">
      <c r="A3" s="43" t="s">
        <v>10</v>
      </c>
      <c r="B3" s="44" t="s">
        <v>11</v>
      </c>
      <c r="C3" s="45" t="s">
        <v>12</v>
      </c>
    </row>
    <row r="4" spans="1:3" ht="30" x14ac:dyDescent="0.25">
      <c r="A4" s="46">
        <v>44179</v>
      </c>
      <c r="B4" s="47" t="s">
        <v>14</v>
      </c>
      <c r="C4" s="48" t="s">
        <v>48</v>
      </c>
    </row>
    <row r="5" spans="1:3" x14ac:dyDescent="0.25">
      <c r="A5" s="49"/>
      <c r="B5" s="47"/>
      <c r="C5" s="48"/>
    </row>
    <row r="6" spans="1:3" x14ac:dyDescent="0.25">
      <c r="A6" s="50"/>
      <c r="B6" s="47"/>
      <c r="C6" s="48"/>
    </row>
    <row r="7" spans="1:3" x14ac:dyDescent="0.25">
      <c r="A7" s="49"/>
      <c r="B7" s="47"/>
      <c r="C7" s="48"/>
    </row>
    <row r="8" spans="1:3" x14ac:dyDescent="0.25">
      <c r="A8" s="49"/>
      <c r="B8" s="47"/>
      <c r="C8" s="48"/>
    </row>
    <row r="9" spans="1:3" x14ac:dyDescent="0.25">
      <c r="A9" s="49"/>
      <c r="B9" s="47"/>
      <c r="C9" s="48"/>
    </row>
    <row r="10" spans="1:3" x14ac:dyDescent="0.25">
      <c r="A10" s="50"/>
      <c r="B10" s="47"/>
      <c r="C10" s="52"/>
    </row>
    <row r="11" spans="1:3" x14ac:dyDescent="0.25">
      <c r="A11" s="49"/>
      <c r="B11" s="47"/>
      <c r="C11" s="51"/>
    </row>
    <row r="12" spans="1:3" x14ac:dyDescent="0.25">
      <c r="A12" s="49"/>
      <c r="B12" s="53"/>
      <c r="C12" s="51"/>
    </row>
    <row r="13" spans="1:3" x14ac:dyDescent="0.25">
      <c r="A13" s="50"/>
      <c r="B13" s="47"/>
      <c r="C13" s="52"/>
    </row>
    <row r="14" spans="1:3" x14ac:dyDescent="0.25">
      <c r="A14" s="49"/>
      <c r="B14" s="53"/>
      <c r="C14" s="51"/>
    </row>
    <row r="15" spans="1:3" x14ac:dyDescent="0.25">
      <c r="A15" s="49"/>
      <c r="B15" s="53"/>
      <c r="C15" s="51"/>
    </row>
    <row r="16" spans="1:3" x14ac:dyDescent="0.25">
      <c r="A16" s="49"/>
      <c r="B16" s="53"/>
      <c r="C16" s="51"/>
    </row>
    <row r="17" spans="1:3" x14ac:dyDescent="0.25">
      <c r="A17" s="49"/>
      <c r="B17" s="53"/>
      <c r="C17" s="51"/>
    </row>
    <row r="18" spans="1:3" x14ac:dyDescent="0.25">
      <c r="A18" s="49"/>
      <c r="B18" s="53"/>
      <c r="C18" s="51"/>
    </row>
    <row r="19" spans="1:3" x14ac:dyDescent="0.25">
      <c r="A19" s="49"/>
      <c r="B19" s="53"/>
      <c r="C19" s="51"/>
    </row>
    <row r="20" spans="1:3" x14ac:dyDescent="0.25">
      <c r="A20" s="49"/>
      <c r="B20" s="53"/>
      <c r="C20" s="51"/>
    </row>
  </sheetData>
  <sheetProtection algorithmName="SHA-512" hashValue="40fy+uSS39ZG6Wt/ddci5tGfXPmap18Ct2lm0EDdySTQw9en4x9PLVDNJwMt75duIqaCradc56yrMQ8IT1JKJQ==" saltValue="WKI3efNirx/s2EcIOTaw/w==" spinCount="100000" sheet="1" objects="1" scenarios="1"/>
  <mergeCells count="2">
    <mergeCell ref="A1:C1"/>
    <mergeCell ref="A2:C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Simulador</vt:lpstr>
      <vt:lpstr>Simulador!Area_de_impressao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Valeria Jasponte</cp:lastModifiedBy>
  <cp:lastPrinted>2020-12-10T12:37:22Z</cp:lastPrinted>
  <dcterms:created xsi:type="dcterms:W3CDTF">2018-11-07T10:59:03Z</dcterms:created>
  <dcterms:modified xsi:type="dcterms:W3CDTF">2020-12-16T12:57:10Z</dcterms:modified>
</cp:coreProperties>
</file>